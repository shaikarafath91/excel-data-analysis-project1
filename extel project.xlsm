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https://d.docs.live.net/150a06f3c513c813/Desktop/"/>
    </mc:Choice>
  </mc:AlternateContent>
  <xr:revisionPtr revIDLastSave="911" documentId="8_{EE5B86E2-7EC3-41CD-BB69-F5ED9145732A}" xr6:coauthVersionLast="47" xr6:coauthVersionMax="47" xr10:uidLastSave="{CCDAC4BF-E649-4405-BAD1-03EFC3E59F91}"/>
  <bookViews>
    <workbookView xWindow="-108" yWindow="-108" windowWidth="23256" windowHeight="12456" xr2:uid="{00000000-000D-0000-FFFF-FFFF00000000}"/>
  </bookViews>
  <sheets>
    <sheet name="RAW DATA" sheetId="1" r:id="rId1"/>
    <sheet name="DATA AFTER CLEANING" sheetId="2" r:id="rId2"/>
    <sheet name="VISUALIZATION" sheetId="4" r:id="rId3"/>
  </sheets>
  <definedNames>
    <definedName name="_xlnm._FilterDatabase" localSheetId="0" hidden="1">'RAW DATA'!$A$1:$H$51</definedName>
    <definedName name="_xlnm.Criteria" localSheetId="0">'RAW DATA'!$J$1:$J$2</definedName>
    <definedName name="_xlnm.Extract" localSheetId="0">'RAW DATA'!$L$1:$S$1</definedName>
    <definedName name="Slicer_Product">#N/A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3" i="1" l="1"/>
  <c r="A64" i="1"/>
  <c r="A118" i="1" s="1"/>
  <c r="A108" i="1"/>
  <c r="A107" i="1"/>
  <c r="A106" i="1"/>
  <c r="A105" i="1"/>
  <c r="A104" i="1"/>
  <c r="A158" i="1" s="1"/>
  <c r="A103" i="1"/>
  <c r="A102" i="1"/>
  <c r="A101" i="1"/>
  <c r="A155" i="1" s="1"/>
  <c r="A100" i="1"/>
  <c r="A154" i="1" s="1"/>
  <c r="A99" i="1"/>
  <c r="A98" i="1"/>
  <c r="A97" i="1"/>
  <c r="A96" i="1"/>
  <c r="A95" i="1"/>
  <c r="A149" i="1" s="1"/>
  <c r="A94" i="1"/>
  <c r="A148" i="1" s="1"/>
  <c r="A93" i="1"/>
  <c r="A147" i="1" s="1"/>
  <c r="A92" i="1"/>
  <c r="A146" i="1" s="1"/>
  <c r="A91" i="1"/>
  <c r="A90" i="1"/>
  <c r="A89" i="1"/>
  <c r="A88" i="1"/>
  <c r="A87" i="1"/>
  <c r="A86" i="1"/>
  <c r="A140" i="1" s="1"/>
  <c r="A85" i="1"/>
  <c r="A84" i="1"/>
  <c r="A83" i="1"/>
  <c r="A82" i="1"/>
  <c r="A81" i="1"/>
  <c r="A80" i="1"/>
  <c r="A79" i="1"/>
  <c r="A78" i="1"/>
  <c r="A132" i="1" s="1"/>
  <c r="A77" i="1"/>
  <c r="A131" i="1" s="1"/>
  <c r="A76" i="1"/>
  <c r="A130" i="1" s="1"/>
  <c r="A75" i="1"/>
  <c r="A74" i="1"/>
  <c r="A73" i="1"/>
  <c r="A72" i="1"/>
  <c r="A71" i="1"/>
  <c r="A125" i="1" s="1"/>
  <c r="A70" i="1"/>
  <c r="A124" i="1" s="1"/>
  <c r="A69" i="1"/>
  <c r="A123" i="1" s="1"/>
  <c r="A68" i="1"/>
  <c r="A67" i="1"/>
  <c r="A66" i="1"/>
  <c r="A120" i="1" s="1"/>
  <c r="A65" i="1"/>
  <c r="A9" i="1"/>
  <c r="A117" i="1" s="1"/>
  <c r="A8" i="1"/>
  <c r="A62" i="1" s="1"/>
  <c r="A116" i="1" s="1"/>
  <c r="A7" i="1"/>
  <c r="A6" i="1"/>
  <c r="A5" i="1"/>
  <c r="A4" i="1"/>
  <c r="A3" i="1"/>
  <c r="A2" i="1"/>
  <c r="A115" i="1"/>
  <c r="A153" i="1"/>
  <c r="A152" i="1"/>
  <c r="A145" i="1"/>
  <c r="A138" i="1"/>
  <c r="A136" i="1"/>
  <c r="A129" i="1"/>
  <c r="A128" i="1"/>
  <c r="A127" i="1"/>
  <c r="A126" i="1"/>
  <c r="A121" i="1"/>
  <c r="A122" i="1"/>
  <c r="A133" i="1"/>
  <c r="A134" i="1"/>
  <c r="A135" i="1"/>
  <c r="A142" i="1"/>
  <c r="A143" i="1"/>
  <c r="A150" i="1"/>
  <c r="A151" i="1"/>
  <c r="A156" i="1"/>
  <c r="A157" i="1"/>
  <c r="A159" i="1"/>
  <c r="A161" i="1"/>
  <c r="A160" i="1"/>
  <c r="A144" i="1"/>
  <c r="A141" i="1"/>
  <c r="A137" i="1"/>
  <c r="A139" i="1"/>
  <c r="A119"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<sst xmlns="http://schemas.openxmlformats.org/spreadsheetml/2006/main" count="274" uniqueCount="137">
  <si>
    <t>Transaction_ID</t>
  </si>
  <si>
    <t>Date</t>
  </si>
  <si>
    <t>Customer_Name</t>
  </si>
  <si>
    <t>Product</t>
  </si>
  <si>
    <t>Units_Sold</t>
  </si>
  <si>
    <t>Price_Per_Unit</t>
  </si>
  <si>
    <t>Total_Sales</t>
  </si>
  <si>
    <t>City</t>
  </si>
  <si>
    <t>T001</t>
  </si>
  <si>
    <t>T002</t>
  </si>
  <si>
    <t>T003</t>
  </si>
  <si>
    <t>T004</t>
  </si>
  <si>
    <t>T005</t>
  </si>
  <si>
    <t>T006</t>
  </si>
  <si>
    <t>T007</t>
  </si>
  <si>
    <t>T008</t>
  </si>
  <si>
    <t>T009</t>
  </si>
  <si>
    <t>T010</t>
  </si>
  <si>
    <t>T011</t>
  </si>
  <si>
    <t>T012</t>
  </si>
  <si>
    <t>T013</t>
  </si>
  <si>
    <t>T014</t>
  </si>
  <si>
    <t>T015</t>
  </si>
  <si>
    <t>T016</t>
  </si>
  <si>
    <t>T017</t>
  </si>
  <si>
    <t>T018</t>
  </si>
  <si>
    <t>T019</t>
  </si>
  <si>
    <t>T020</t>
  </si>
  <si>
    <t>T021</t>
  </si>
  <si>
    <t>T022</t>
  </si>
  <si>
    <t>T023</t>
  </si>
  <si>
    <t>T024</t>
  </si>
  <si>
    <t>T025</t>
  </si>
  <si>
    <t>T026</t>
  </si>
  <si>
    <t>T027</t>
  </si>
  <si>
    <t>T028</t>
  </si>
  <si>
    <t>T029</t>
  </si>
  <si>
    <t>T030</t>
  </si>
  <si>
    <t>T031</t>
  </si>
  <si>
    <t>T032</t>
  </si>
  <si>
    <t>T033</t>
  </si>
  <si>
    <t>T034</t>
  </si>
  <si>
    <t>T035</t>
  </si>
  <si>
    <t>T036</t>
  </si>
  <si>
    <t>T037</t>
  </si>
  <si>
    <t>T038</t>
  </si>
  <si>
    <t>T039</t>
  </si>
  <si>
    <t>T040</t>
  </si>
  <si>
    <t>T041</t>
  </si>
  <si>
    <t>T042</t>
  </si>
  <si>
    <t>T043</t>
  </si>
  <si>
    <t>T044</t>
  </si>
  <si>
    <t>T045</t>
  </si>
  <si>
    <t>T046</t>
  </si>
  <si>
    <t>T047</t>
  </si>
  <si>
    <t>T048</t>
  </si>
  <si>
    <t>T049</t>
  </si>
  <si>
    <t>T050</t>
  </si>
  <si>
    <t>Pooja</t>
  </si>
  <si>
    <t>Karan</t>
  </si>
  <si>
    <t>Sneha</t>
  </si>
  <si>
    <t>Rahul</t>
  </si>
  <si>
    <t>Amit</t>
  </si>
  <si>
    <t>Priya</t>
  </si>
  <si>
    <t>Anita</t>
  </si>
  <si>
    <t>Neha</t>
  </si>
  <si>
    <t>Vikram</t>
  </si>
  <si>
    <t>Webcam</t>
  </si>
  <si>
    <t>Keyboard</t>
  </si>
  <si>
    <t>Mouse</t>
  </si>
  <si>
    <t>Headphones</t>
  </si>
  <si>
    <t>Tablet</t>
  </si>
  <si>
    <t>Laptop</t>
  </si>
  <si>
    <t>Printer</t>
  </si>
  <si>
    <t>Monitor</t>
  </si>
  <si>
    <t>Delhi</t>
  </si>
  <si>
    <t>Pune</t>
  </si>
  <si>
    <t>Hyderabad</t>
  </si>
  <si>
    <t>Mumbai</t>
  </si>
  <si>
    <t>Bengaluru</t>
  </si>
  <si>
    <t>Chennai</t>
  </si>
  <si>
    <t>Priya Gupta</t>
  </si>
  <si>
    <t>sneha gupta</t>
  </si>
  <si>
    <t>Grand Total</t>
  </si>
  <si>
    <t>Transaction_IDDateCustomer_NameProductUnits_SoldPrice_Per_UnitTotal_SalesCity</t>
  </si>
  <si>
    <t>T03845442Sneha GuptaTablet317645292Pune</t>
  </si>
  <si>
    <t>T04845296KaranMonitor239637926Mumbai</t>
  </si>
  <si>
    <t>T03045584AmitWebcam2538910778Hyderabad</t>
  </si>
  <si>
    <t>T03645420Priya GuptaTablet3448613458Hyderabad</t>
  </si>
  <si>
    <t>T01845525NehaTablet11578715787Mumbai</t>
  </si>
  <si>
    <t>T00645309KaranHeadphones12004020040Bengaluru</t>
  </si>
  <si>
    <t>T00545479AmitWebcam12295522955Mumbai</t>
  </si>
  <si>
    <t>T04445499AnitaMonitor13161731617Delhi</t>
  </si>
  <si>
    <t>T03445314SnehaLaptop21834436688Pune</t>
  </si>
  <si>
    <t>T04645392NehaHeadphones13818238182Mumbai</t>
  </si>
  <si>
    <t>T00245375KaranKeyboard13967239672Pune</t>
  </si>
  <si>
    <t>T01645301PriyaTablet22024140482Pune</t>
  </si>
  <si>
    <t>T02645306RahulMouse5838141905Mumbai</t>
  </si>
  <si>
    <t>T00445331RahulMouse5923646180Delhi</t>
  </si>
  <si>
    <t>T04345554KaranPrinter14877748777Chennai</t>
  </si>
  <si>
    <t>T02245362VikramTablet14977349773Delhi</t>
  </si>
  <si>
    <t>T00145506PoojaWebcam22518750374Delhi</t>
  </si>
  <si>
    <t>T03745318SnehaTablet6854351258Bengaluru</t>
  </si>
  <si>
    <t>T03945529RahulWebcam61033361998Pune</t>
  </si>
  <si>
    <t>T00945495AmitMouse32075662268Hyderabad</t>
  </si>
  <si>
    <t>T03245574KaranKeyboard41573362932Pune</t>
  </si>
  <si>
    <t>T00345483SnehaMouse32102563075Hyderabad</t>
  </si>
  <si>
    <t>T02045343RahulWebcam32611578345Chennai</t>
  </si>
  <si>
    <t>T03345550PoojaPrinter23938678772Bengaluru</t>
  </si>
  <si>
    <t>T02345569NehaLaptop23996679932Chennai</t>
  </si>
  <si>
    <t>T04045323AmitMonitor42039381572Pune</t>
  </si>
  <si>
    <t>T04745322SnehaMonitor10824282420Chennai</t>
  </si>
  <si>
    <t>T02545333NehaWebcam24154583090Chennai</t>
  </si>
  <si>
    <t>T04245392VikramMonitor42086983476Mumbai</t>
  </si>
  <si>
    <t>T04945495AnitaTablet10957595750Pune</t>
  </si>
  <si>
    <t>T04545299AnitaWebcam334052102156Hyderabad</t>
  </si>
  <si>
    <t>T02445403AnitaWebcam520679103395Hyderabad</t>
  </si>
  <si>
    <t>T03145435RahulLaptop813385107080Delhi</t>
  </si>
  <si>
    <t>T01945320PriyaPrinter428810115240Pune</t>
  </si>
  <si>
    <t>T02945382PoojaPrinter429120116480Delhi</t>
  </si>
  <si>
    <t>T02145310AmitTablet524148120740Hyderabad</t>
  </si>
  <si>
    <t>T01245473AmitHeadphones620576123456Mumbai</t>
  </si>
  <si>
    <t>T01345432PriyaWebcam622895137370Bengaluru</t>
  </si>
  <si>
    <t>T01045574PriyaWebcam348084144252Mumbai</t>
  </si>
  <si>
    <t>T04145475SnehaMouse533106165530Hyderabad</t>
  </si>
  <si>
    <t>T03545407SnehaMouse631522189132Mumbai</t>
  </si>
  <si>
    <t>T02845370AnitaMonitor727356191492Delhi</t>
  </si>
  <si>
    <t>T00845357AmitHeadphones540590202950Pune</t>
  </si>
  <si>
    <t>T01745553NehaKeyboard731140217980Hyderabad</t>
  </si>
  <si>
    <t>T01445467PriyaLaptop543671218355Bengaluru</t>
  </si>
  <si>
    <t>T00745362SnehaHeadphones732236225652Hyderabad</t>
  </si>
  <si>
    <t>T01545536RahulKeyboard834169273352Bengaluru</t>
  </si>
  <si>
    <t>T05045305NehaKeyboard1032061320610Delhi</t>
  </si>
  <si>
    <t>T01145389AnitaTablet944080396720Delhi</t>
  </si>
  <si>
    <t>T02745519SnehaWebcam1048992489920Hyderabad</t>
  </si>
  <si>
    <t>CITY</t>
  </si>
  <si>
    <t>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</si>
</sst>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sz val="8"/>
      <name val="Calibri"/>
      <family val="2"/>
      <scheme val="minor"/>
    </font>
    <font>
      <sz val="16"/>
      <color theme="1"/>
      <name val="Calibri"/>
      <family val="2"/>
      <scheme val="minor"/>
    </font>
  </fonts>
  <fills count="2">
    <fill>
      <patternFill patternType="none"/>
    </fill>
    <fill>
      <patternFill patternType="gray125"/>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2">
    <xf numFmtId="0" fontId="0" fillId="0" borderId="0" xfId="0"/>
    <xf numFmtId="0" fontId="0" fillId="0" borderId="0" xfId="0" applyAlignment="1">
      <alignment horizontal="left" vertical="top"/>
    </xf>
    <xf numFmtId="14" fontId="0" fillId="0" borderId="0" xfId="0" applyNumberFormat="1" applyAlignment="1">
      <alignment horizontal="left" vertical="top"/>
    </xf>
    <xf numFmtId="14" fontId="0" fillId="0" borderId="0" xfId="0" applyNumberFormat="1"/>
    <xf numFmtId="0" fontId="0" fillId="0" borderId="2" xfId="0" applyBorder="1" applyAlignment="1">
      <alignment horizontal="center"/>
    </xf>
    <xf numFmtId="0" fontId="0" fillId="0" borderId="1" xfId="0" applyBorder="1" applyAlignment="1">
      <alignment horizontal="center"/>
    </xf>
    <xf numFmtId="2" fontId="0" fillId="0" borderId="0" xfId="0" applyNumberFormat="1" applyAlignment="1">
      <alignment horizontal="left" vertical="top"/>
    </xf>
    <xf numFmtId="2" fontId="0" fillId="0" borderId="0" xfId="0" applyNumberFormat="1"/>
    <xf numFmtId="11" fontId="0" fillId="0" borderId="0" xfId="0" applyNumberFormat="1" applyAlignment="1">
      <alignment horizontal="left" vertical="top"/>
    </xf>
    <xf numFmtId="11" fontId="0" fillId="0" borderId="0" xfId="0" applyNumberFormat="1"/>
    <xf numFmtId="14" fontId="0" fillId="0" borderId="1" xfId="0" applyNumberFormat="1" applyBorder="1" applyAlignment="1">
      <alignment horizontal="center"/>
    </xf>
    <xf numFmtId="0" fontId="3" fillId="0" borderId="1" xfId="0" pivotButton="1" applyFont="1" applyBorder="1" applyAlignment="1">
      <alignment horizontal="center"/>
    </xf>
    <xf numFmtId="0" fontId="3" fillId="0" borderId="1" xfId="0" applyFont="1" applyBorder="1" applyAlignment="1">
      <alignment horizontal="center"/>
    </xf>
    <xf numFmtId="0" fontId="0" fillId="0" borderId="3" xfId="0" applyBorder="1" applyAlignment="1">
      <alignment horizontal="center"/>
    </xf>
    <xf numFmtId="0" fontId="1" fillId="0" borderId="4" xfId="0" applyFont="1" applyBorder="1" applyAlignment="1">
      <alignment horizontal="center"/>
    </xf>
    <xf numFmtId="14" fontId="1" fillId="0" borderId="4" xfId="0" applyNumberFormat="1" applyFont="1" applyBorder="1" applyAlignment="1">
      <alignment horizontal="center"/>
    </xf>
    <xf numFmtId="0" fontId="1" fillId="0" borderId="5" xfId="0" applyFont="1" applyBorder="1" applyAlignment="1">
      <alignment horizontal="center"/>
    </xf>
    <xf numFmtId="0" fontId="0" fillId="0" borderId="6" xfId="0" applyBorder="1" applyAlignment="1">
      <alignment horizontal="center"/>
    </xf>
    <xf numFmtId="14" fontId="0" fillId="0" borderId="7"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 xfId="0" applyNumberFormat="1" applyBorder="1" applyAlignment="1">
      <alignment horizontal="center"/>
    </xf>
  </cellXfs>
  <cellStyles count="1">
    <cellStyle name="Normal" xfId="0" builtinId="0"/>
  </cellStyles>
  <dxfs count="840">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right style="medium">
          <color indexed="64"/>
        </right>
        <top style="medium">
          <color indexed="64"/>
        </top>
        <bottom style="medium">
          <color indexed="64"/>
        </bottom>
      </border>
    </dxf>
    <dxf>
      <alignment horizontal="center" vertical="bottom" textRotation="0" wrapText="0" indent="0" justifyLastLine="0" shrinkToFit="0" readingOrder="0"/>
    </dxf>
    <dxf>
      <border outline="0">
        <bottom style="thin">
          <color indexed="64"/>
        </bottom>
      </border>
    </dxf>
    <dxf>
      <font>
        <b/>
        <i/>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1"/>
        </patternFill>
      </fill>
    </dxf>
  </dxfs>
  <tableStyles count="1" defaultTableStyle="TableStyleMedium9" defaultPivotStyle="PivotStyleLight16">
    <tableStyle name="Slicer Style 1" pivot="0" table="0" count="1" xr9:uid="{3B2AD97C-4EE1-432B-8203-33B7AEEC08B2}">
      <tableStyleElement type="headerRow" dxfId="839"/>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microsoft.com/office/2007/relationships/slicerCache" Target="slicerCaches/slicerCache1.xml"/><Relationship Id="rId15" Type="http://schemas.microsoft.com/office/2006/relationships/vbaProject" Target="vbaProject.bin"/><Relationship Id="rId10" Type="http://schemas.microsoft.com/office/2017/06/relationships/rdRichValue" Target="richData/rdrichvalue.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[extel project.xlsm]VISUALIZATION!PivotTable1</c:name>
    <c:fmtId val="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barChart>
        <c:barDir val="col"/>
        <c:grouping val="clustered"/>
        <c:varyColors val="1"/>
        <c:ser>
          <c:idx val="0"/>
          <c:order val="0"/>
          <c:tx>
            <c:strRef>
              <c:f>VISUALIZATION!$C$8</c:f>
              <c:strCache>
                <c:ptCount val="1"/>
                <c:pt idx="0">
                  <c:v>Total</c:v>
                </c:pt>
              </c:strCache>
            </c:strRef>
          </c:tx>
          <c:spPr>
            <a:ln>
              <a:solidFill>
                <a:schemeClr val="accent1">
                  <a:alpha val="68000"/>
                </a:schemeClr>
              </a:solidFill>
            </a:ln>
            <a:effectLst>
              <a:outerShdw blurRad="254000" dist="23000" dir="5400000" rotWithShape="0">
                <a:srgbClr val="000000">
                  <a:alpha val="35000"/>
                </a:srgbClr>
              </a:outerShdw>
            </a:effectLst>
          </c:spPr>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DE44-436C-9A3E-8604D23688D7}"/>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DE44-436C-9A3E-8604D23688D7}"/>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DE44-436C-9A3E-8604D23688D7}"/>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DE44-436C-9A3E-8604D23688D7}"/>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DE44-436C-9A3E-8604D23688D7}"/>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solidFill>
                  <a:schemeClr val="accent1">
                    <a:alpha val="68000"/>
                  </a:schemeClr>
                </a:solidFill>
              </a:ln>
              <a:effectLst>
                <a:outerShdw blurRad="254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DE44-436C-9A3E-8604D23688D7}"/>
              </c:ext>
            </c:extLst>
          </c:dPt>
          <c:cat>
            <c:strRef>
              <c:f>VISUALIZATION!$B$9:$B$15</c:f>
              <c:strCache>
                <c:ptCount val="6"/>
                <c:pt idx="0">
                  <c:v>Bengaluru</c:v>
                </c:pt>
                <c:pt idx="1">
                  <c:v>Chennai</c:v>
                </c:pt>
                <c:pt idx="2">
                  <c:v>Delhi</c:v>
                </c:pt>
                <c:pt idx="3">
                  <c:v>Hyderabad</c:v>
                </c:pt>
                <c:pt idx="4">
                  <c:v>Mumbai</c:v>
                </c:pt>
                <c:pt idx="5">
                  <c:v>Pune</c:v>
                </c:pt>
              </c:strCache>
            </c:strRef>
          </c:cat>
          <c:val>
            <c:numRef>
              <c:f>VISUALIZATION!$C$9:$C$15</c:f>
              <c:numCache>
                <c:formatCode>General</c:formatCode>
                <c:ptCount val="6"/>
                <c:pt idx="0">
                  <c:v>779147</c:v>
                </c:pt>
                <c:pt idx="1">
                  <c:v>372564</c:v>
                </c:pt>
                <c:pt idx="2">
                  <c:v>1310326</c:v>
                </c:pt>
                <c:pt idx="3">
                  <c:v>1574952</c:v>
                </c:pt>
                <c:pt idx="4">
                  <c:v>667071</c:v>
                </c:pt>
                <c:pt idx="5">
                  <c:v>742576</c:v>
                </c:pt>
              </c:numCache>
            </c:numRef>
          </c:val>
          <c:extLst>
            <c:ext xmlns:c16="http://schemas.microsoft.com/office/drawing/2014/chart" uri="{C3380CC4-5D6E-409C-BE32-E72D297353CC}">
              <c16:uniqueId val="{0000000C-0BE5-4096-8369-672B3A6BF169}"/>
            </c:ext>
          </c:extLst>
        </c:ser>
        <c:dLbls>
          <c:showLegendKey val="0"/>
          <c:showVal val="0"/>
          <c:showCatName val="0"/>
          <c:showSerName val="0"/>
          <c:showPercent val="0"/>
          <c:showBubbleSize val="0"/>
        </c:dLbls>
        <c:gapWidth val="100"/>
        <c:overlap val="-24"/>
        <c:axId val="200138128"/>
        <c:axId val="200141008"/>
      </c:barChart>
      <c:catAx>
        <c:axId val="2001381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141008"/>
        <c:crosses val="autoZero"/>
        <c:auto val="1"/>
        <c:lblAlgn val="ctr"/>
        <c:lblOffset val="100"/>
        <c:noMultiLvlLbl val="0"/>
      </c:catAx>
      <c:valAx>
        <c:axId val="200141008"/>
        <c:scaling>
          <c:orientation val="minMax"/>
        </c:scaling>
        <c:delete val="0"/>
        <c:axPos val="l"/>
        <c:majorGridlines>
          <c:spPr>
            <a:ln w="9525" cap="flat" cmpd="sng" algn="ctr">
              <a:solidFill>
                <a:schemeClr val="lt1">
                  <a:lumMod val="95000"/>
                  <a:alpha val="10000"/>
                </a:schemeClr>
              </a:solidFill>
              <a:round/>
            </a:ln>
            <a:effectLst>
              <a:softEdge rad="596900"/>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138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[extel project.xlsm]VISUALIZATION!PivotTable1</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chemeClr val="bg2">
                <a:lumMod val="75000"/>
              </a:scheme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
        <c:idx val="2"/>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VISUALIZATION!$C$8</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903E-4F3F-923C-3CEA467E1CF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03E-4F3F-923C-3CEA467E1CF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03E-4F3F-923C-3CEA467E1CF1}"/>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903E-4F3F-923C-3CEA467E1CF1}"/>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903E-4F3F-923C-3CEA467E1CF1}"/>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F62E-40FC-A439-4AF70A00ACBA}"/>
              </c:ext>
            </c:extLst>
          </c:dPt>
          <c:dLbls>
            <c:spPr>
              <a:solidFill>
                <a:schemeClr val="bg2">
                  <a:lumMod val="75000"/>
                </a:scheme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roundRect">
                    <a:avLst/>
                  </a:prstGeom>
                  <a:noFill/>
                  <a:ln>
                    <a:noFill/>
                  </a:ln>
                </c15:spPr>
              </c:ext>
            </c:extLst>
          </c:dLbls>
          <c:cat>
            <c:strRef>
              <c:f>VISUALIZATION!$B$9:$B$15</c:f>
              <c:strCache>
                <c:ptCount val="6"/>
                <c:pt idx="0">
                  <c:v>Bengaluru</c:v>
                </c:pt>
                <c:pt idx="1">
                  <c:v>Chennai</c:v>
                </c:pt>
                <c:pt idx="2">
                  <c:v>Delhi</c:v>
                </c:pt>
                <c:pt idx="3">
                  <c:v>Hyderabad</c:v>
                </c:pt>
                <c:pt idx="4">
                  <c:v>Mumbai</c:v>
                </c:pt>
                <c:pt idx="5">
                  <c:v>Pune</c:v>
                </c:pt>
              </c:strCache>
            </c:strRef>
          </c:cat>
          <c:val>
            <c:numRef>
              <c:f>VISUALIZATION!$C$9:$C$15</c:f>
              <c:numCache>
                <c:formatCode>General</c:formatCode>
                <c:ptCount val="6"/>
                <c:pt idx="0">
                  <c:v>779147</c:v>
                </c:pt>
                <c:pt idx="1">
                  <c:v>372564</c:v>
                </c:pt>
                <c:pt idx="2">
                  <c:v>1310326</c:v>
                </c:pt>
                <c:pt idx="3">
                  <c:v>1574952</c:v>
                </c:pt>
                <c:pt idx="4">
                  <c:v>667071</c:v>
                </c:pt>
                <c:pt idx="5">
                  <c:v>742576</c:v>
                </c:pt>
              </c:numCache>
            </c:numRef>
          </c:val>
          <c:extLst>
            <c:ext xmlns:c16="http://schemas.microsoft.com/office/drawing/2014/chart" uri="{C3380CC4-5D6E-409C-BE32-E72D297353CC}">
              <c16:uniqueId val="{00000002-F62E-40FC-A439-4AF70A00ACB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[extel project.xlsm]VISUALIZATION!PivotTable1</c:name>
    <c:fmtId val="19"/>
  </c:pivotSource>
  <c:chart>
    <c:autoTitleDeleted val="1"/>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VISUALIZATION!$C$8</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F81BD"/>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VISUALIZATION!$B$9:$B$15</c:f>
              <c:strCache>
                <c:ptCount val="6"/>
                <c:pt idx="0">
                  <c:v>Bengaluru</c:v>
                </c:pt>
                <c:pt idx="1">
                  <c:v>Chennai</c:v>
                </c:pt>
                <c:pt idx="2">
                  <c:v>Delhi</c:v>
                </c:pt>
                <c:pt idx="3">
                  <c:v>Hyderabad</c:v>
                </c:pt>
                <c:pt idx="4">
                  <c:v>Mumbai</c:v>
                </c:pt>
                <c:pt idx="5">
                  <c:v>Pune</c:v>
                </c:pt>
              </c:strCache>
            </c:strRef>
          </c:cat>
          <c:val>
            <c:numRef>
              <c:f>VISUALIZATION!$C$9:$C$15</c:f>
              <c:numCache>
                <c:formatCode>General</c:formatCode>
                <c:ptCount val="6"/>
                <c:pt idx="0">
                  <c:v>779147</c:v>
                </c:pt>
                <c:pt idx="1">
                  <c:v>372564</c:v>
                </c:pt>
                <c:pt idx="2">
                  <c:v>1310326</c:v>
                </c:pt>
                <c:pt idx="3">
                  <c:v>1574952</c:v>
                </c:pt>
                <c:pt idx="4">
                  <c:v>667071</c:v>
                </c:pt>
                <c:pt idx="5">
                  <c:v>742576</c:v>
                </c:pt>
              </c:numCache>
            </c:numRef>
          </c:val>
          <c:smooth val="0"/>
          <c:extLst>
            <c:ext xmlns:c16="http://schemas.microsoft.com/office/drawing/2014/chart" uri="{C3380CC4-5D6E-409C-BE32-E72D297353CC}">
              <c16:uniqueId val="{00000000-3609-4A0A-9577-36494EA859E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80472240"/>
        <c:axId val="680472720"/>
      </c:lineChart>
      <c:catAx>
        <c:axId val="680472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680472720"/>
        <c:crosses val="autoZero"/>
        <c:auto val="1"/>
        <c:lblAlgn val="ctr"/>
        <c:lblOffset val="100"/>
        <c:noMultiLvlLbl val="0"/>
      </c:catAx>
      <c:valAx>
        <c:axId val="680472720"/>
        <c:scaling>
          <c:orientation val="minMax"/>
        </c:scaling>
        <c:delete val="1"/>
        <c:axPos val="l"/>
        <c:numFmt formatCode="General" sourceLinked="1"/>
        <c:majorTickMark val="none"/>
        <c:minorTickMark val="none"/>
        <c:tickLblPos val="nextTo"/>
        <c:crossAx val="680472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85000"/>
        <a:lumOff val="15000"/>
      </a:schemeClr>
    </a:solidFill>
    <a:ln w="9525" cap="flat" cmpd="sng" algn="ctr">
      <a:solidFill>
        <a:schemeClr val="accent2">
          <a:lumMod val="60000"/>
          <a:lumOff val="4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7620</xdr:colOff>
      <xdr:row>1</xdr:row>
      <xdr:rowOff>83820</xdr:rowOff>
    </xdr:from>
    <xdr:to>
      <xdr:col>18</xdr:col>
      <xdr:colOff>510540</xdr:colOff>
      <xdr:row>16</xdr:row>
      <xdr:rowOff>83820</xdr:rowOff>
    </xdr:to>
    <xdr:graphicFrame macro="">
      <xdr:nvGraphicFramePr>
        <xdr:cNvPr id="2" name="Chart 1">
          <a:extLst>
            <a:ext uri="{FF2B5EF4-FFF2-40B4-BE49-F238E27FC236}">
              <a16:creationId xmlns:a16="http://schemas.microsoft.com/office/drawing/2014/main" id="{2D42EA8E-1ECE-E3BE-A6B7-143548FB44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22859</xdr:colOff>
      <xdr:row>18</xdr:row>
      <xdr:rowOff>0</xdr:rowOff>
    </xdr:from>
    <xdr:to>
      <xdr:col>18</xdr:col>
      <xdr:colOff>500302</xdr:colOff>
      <xdr:row>33</xdr:row>
      <xdr:rowOff>0</xdr:rowOff>
    </xdr:to>
    <xdr:graphicFrame macro="">
      <xdr:nvGraphicFramePr>
        <xdr:cNvPr id="4" name="Chart 3">
          <a:extLst>
            <a:ext uri="{FF2B5EF4-FFF2-40B4-BE49-F238E27FC236}">
              <a16:creationId xmlns:a16="http://schemas.microsoft.com/office/drawing/2014/main" id="{87E632E0-63B8-6DB6-1C8A-656E0E733E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701040</xdr:colOff>
      <xdr:row>17</xdr:row>
      <xdr:rowOff>15240</xdr:rowOff>
    </xdr:from>
    <xdr:to>
      <xdr:col>6</xdr:col>
      <xdr:colOff>350520</xdr:colOff>
      <xdr:row>32</xdr:row>
      <xdr:rowOff>167640</xdr:rowOff>
    </xdr:to>
    <xdr:graphicFrame macro="">
      <xdr:nvGraphicFramePr>
        <xdr:cNvPr id="7" name="Chart 6">
          <a:extLst>
            <a:ext uri="{FF2B5EF4-FFF2-40B4-BE49-F238E27FC236}">
              <a16:creationId xmlns:a16="http://schemas.microsoft.com/office/drawing/2014/main" id="{467E44F7-E2B6-04B9-85F4-552F87DC87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7</xdr:row>
      <xdr:rowOff>0</xdr:rowOff>
    </xdr:from>
    <xdr:to>
      <xdr:col>9</xdr:col>
      <xdr:colOff>960120</xdr:colOff>
      <xdr:row>21</xdr:row>
      <xdr:rowOff>139680</xdr:rowOff>
    </xdr:to>
    <mc:AlternateContent xmlns:mc="http://schemas.openxmlformats.org/markup-compatibility/2006">
      <mc:Choice xmlns:a14="http://schemas.microsoft.com/office/drawing/2010/main" Requires="a14">
        <xdr:graphicFrame macro="">
          <xdr:nvGraphicFramePr>
            <xdr:cNvPr id="11" name="Product">
              <a:extLst>
                <a:ext uri="{FF2B5EF4-FFF2-40B4-BE49-F238E27FC236}">
                  <a16:creationId xmlns:a16="http://schemas.microsoft.com/office/drawing/2014/main" id="{9E5FA149-591C-43FA-9307-03F28E5E6D6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5611091" y="1293091"/>
              <a:ext cx="1829877" cy="28105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ik arfath" refreshedDate="46032.024281944447" createdVersion="8" refreshedVersion="8" minRefreshableVersion="3" recordCount="50" xr:uid="{59916BC9-2803-4A6A-A283-830A18806E02}">
  <cacheSource type="worksheet">
    <worksheetSource ref="A1:H51" sheet="DATA AFTER CLEANING"/>
  </cacheSource>
  <cacheFields count="8">
    <cacheField name="Transaction_ID" numFmtId="0">
      <sharedItems/>
    </cacheField>
    <cacheField name="Date" numFmtId="0">
      <sharedItems containsSemiMixedTypes="0" containsString="0" containsNumber="1" containsInteger="1" minValue="45296" maxValue="45584"/>
    </cacheField>
    <cacheField name="Customer_Name" numFmtId="0">
      <sharedItems count="11">
        <s v="sneha gupta"/>
        <s v="Karan"/>
        <s v="Amit"/>
        <s v="Priya Gupta"/>
        <s v="Neha"/>
        <s v="Anita"/>
        <s v="Sneha"/>
        <s v="Priya"/>
        <s v="Rahul"/>
        <s v="Vikram"/>
        <s v="Pooja"/>
      </sharedItems>
    </cacheField>
    <cacheField name="Product" numFmtId="0">
      <sharedItems count="8">
        <s v="Tablet"/>
        <s v="Monitor"/>
        <s v="Webcam"/>
        <s v="Headphones"/>
        <s v="Laptop"/>
        <s v="Keyboard"/>
        <s v="Mouse"/>
        <s v="Printer"/>
      </sharedItems>
    </cacheField>
    <cacheField name="Units_Sold" numFmtId="0">
      <sharedItems containsSemiMixedTypes="0" containsString="0" containsNumber="1" containsInteger="1" minValue="1" maxValue="10"/>
    </cacheField>
    <cacheField name="Price_Per_Unit" numFmtId="0">
      <sharedItems containsSemiMixedTypes="0" containsString="0" containsNumber="1" containsInteger="1" minValue="1764" maxValue="49773"/>
    </cacheField>
    <cacheField name="Total_Sales" numFmtId="0">
      <sharedItems containsSemiMixedTypes="0" containsString="0" containsNumber="1" containsInteger="1" minValue="5292" maxValue="489920" count="50">
        <n v="5292"/>
        <n v="7926"/>
        <n v="10778"/>
        <n v="13458"/>
        <n v="15787"/>
        <n v="20040"/>
        <n v="22955"/>
        <n v="31617"/>
        <n v="36688"/>
        <n v="38182"/>
        <n v="39672"/>
        <n v="40482"/>
        <n v="41905"/>
        <n v="46180"/>
        <n v="48777"/>
        <n v="49773"/>
        <n v="50374"/>
        <n v="51258"/>
        <n v="61998"/>
        <n v="62268"/>
        <n v="62932"/>
        <n v="63075"/>
        <n v="78345"/>
        <n v="78772"/>
        <n v="79932"/>
        <n v="81572"/>
        <n v="82420"/>
        <n v="83090"/>
        <n v="83476"/>
        <n v="95750"/>
        <n v="102156"/>
        <n v="103395"/>
        <n v="107080"/>
        <n v="115240"/>
        <n v="116480"/>
        <n v="120740"/>
        <n v="123456"/>
        <n v="137370"/>
        <n v="144252"/>
        <n v="165530"/>
        <n v="189132"/>
        <n v="191492"/>
        <n v="202950"/>
        <n v="217980"/>
        <n v="218355"/>
        <n v="225652"/>
        <n v="273352"/>
        <n v="320610"/>
        <n v="396720"/>
        <n v="489920"/>
      </sharedItems>
    </cacheField>
    <cacheField name="City" numFmtId="0">
      <sharedItems count="6">
        <s v="Pune"/>
        <s v="Mumbai"/>
        <s v="Hyderabad"/>
        <s v="Bengaluru"/>
        <s v="Delhi"/>
        <s v="Chennai"/>
      </sharedItems>
    </cacheField>
  </cacheFields>
  <extLst>
    <ext xmlns:x14="http://schemas.microsoft.com/office/spreadsheetml/2009/9/main" uri="{725AE2AE-9491-48be-B2B4-4EB974FC3084}">
      <x14:pivotCacheDefinition pivotCacheId="13609625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T038"/>
    <n v="45442"/>
    <x v="0"/>
    <x v="0"/>
    <n v="3"/>
    <n v="1764"/>
    <x v="0"/>
    <x v="0"/>
  </r>
  <r>
    <s v="T048"/>
    <n v="45296"/>
    <x v="1"/>
    <x v="1"/>
    <n v="2"/>
    <n v="3963"/>
    <x v="1"/>
    <x v="1"/>
  </r>
  <r>
    <s v="T030"/>
    <n v="45584"/>
    <x v="2"/>
    <x v="2"/>
    <n v="2"/>
    <n v="5389"/>
    <x v="2"/>
    <x v="2"/>
  </r>
  <r>
    <s v="T036"/>
    <n v="45420"/>
    <x v="3"/>
    <x v="0"/>
    <n v="3"/>
    <n v="4486"/>
    <x v="3"/>
    <x v="2"/>
  </r>
  <r>
    <s v="T018"/>
    <n v="45525"/>
    <x v="4"/>
    <x v="0"/>
    <n v="1"/>
    <n v="15787"/>
    <x v="4"/>
    <x v="1"/>
  </r>
  <r>
    <s v="T006"/>
    <n v="45309"/>
    <x v="1"/>
    <x v="3"/>
    <n v="1"/>
    <n v="20040"/>
    <x v="5"/>
    <x v="3"/>
  </r>
  <r>
    <s v="T005"/>
    <n v="45479"/>
    <x v="2"/>
    <x v="2"/>
    <n v="1"/>
    <n v="22955"/>
    <x v="6"/>
    <x v="1"/>
  </r>
  <r>
    <s v="T044"/>
    <n v="45499"/>
    <x v="5"/>
    <x v="1"/>
    <n v="1"/>
    <n v="31617"/>
    <x v="7"/>
    <x v="4"/>
  </r>
  <r>
    <s v="T034"/>
    <n v="45314"/>
    <x v="6"/>
    <x v="4"/>
    <n v="2"/>
    <n v="18344"/>
    <x v="8"/>
    <x v="0"/>
  </r>
  <r>
    <s v="T046"/>
    <n v="45392"/>
    <x v="4"/>
    <x v="3"/>
    <n v="1"/>
    <n v="38182"/>
    <x v="9"/>
    <x v="1"/>
  </r>
  <r>
    <s v="T002"/>
    <n v="45375"/>
    <x v="1"/>
    <x v="5"/>
    <n v="1"/>
    <n v="39672"/>
    <x v="10"/>
    <x v="0"/>
  </r>
  <r>
    <s v="T016"/>
    <n v="45301"/>
    <x v="7"/>
    <x v="0"/>
    <n v="2"/>
    <n v="20241"/>
    <x v="11"/>
    <x v="0"/>
  </r>
  <r>
    <s v="T026"/>
    <n v="45306"/>
    <x v="8"/>
    <x v="6"/>
    <n v="5"/>
    <n v="8381"/>
    <x v="12"/>
    <x v="1"/>
  </r>
  <r>
    <s v="T004"/>
    <n v="45331"/>
    <x v="8"/>
    <x v="6"/>
    <n v="5"/>
    <n v="9236"/>
    <x v="13"/>
    <x v="4"/>
  </r>
  <r>
    <s v="T043"/>
    <n v="45554"/>
    <x v="1"/>
    <x v="7"/>
    <n v="1"/>
    <n v="48777"/>
    <x v="14"/>
    <x v="5"/>
  </r>
  <r>
    <s v="T022"/>
    <n v="45362"/>
    <x v="9"/>
    <x v="0"/>
    <n v="1"/>
    <n v="49773"/>
    <x v="15"/>
    <x v="4"/>
  </r>
  <r>
    <s v="T001"/>
    <n v="45506"/>
    <x v="10"/>
    <x v="2"/>
    <n v="2"/>
    <n v="25187"/>
    <x v="16"/>
    <x v="4"/>
  </r>
  <r>
    <s v="T037"/>
    <n v="45318"/>
    <x v="6"/>
    <x v="0"/>
    <n v="6"/>
    <n v="8543"/>
    <x v="17"/>
    <x v="3"/>
  </r>
  <r>
    <s v="T039"/>
    <n v="45529"/>
    <x v="8"/>
    <x v="2"/>
    <n v="6"/>
    <n v="10333"/>
    <x v="18"/>
    <x v="0"/>
  </r>
  <r>
    <s v="T009"/>
    <n v="45495"/>
    <x v="2"/>
    <x v="6"/>
    <n v="3"/>
    <n v="20756"/>
    <x v="19"/>
    <x v="2"/>
  </r>
  <r>
    <s v="T032"/>
    <n v="45574"/>
    <x v="1"/>
    <x v="5"/>
    <n v="4"/>
    <n v="15733"/>
    <x v="20"/>
    <x v="0"/>
  </r>
  <r>
    <s v="T003"/>
    <n v="45483"/>
    <x v="6"/>
    <x v="6"/>
    <n v="3"/>
    <n v="21025"/>
    <x v="21"/>
    <x v="2"/>
  </r>
  <r>
    <s v="T020"/>
    <n v="45343"/>
    <x v="8"/>
    <x v="2"/>
    <n v="3"/>
    <n v="26115"/>
    <x v="22"/>
    <x v="5"/>
  </r>
  <r>
    <s v="T033"/>
    <n v="45550"/>
    <x v="10"/>
    <x v="7"/>
    <n v="2"/>
    <n v="39386"/>
    <x v="23"/>
    <x v="3"/>
  </r>
  <r>
    <s v="T023"/>
    <n v="45569"/>
    <x v="4"/>
    <x v="4"/>
    <n v="2"/>
    <n v="39966"/>
    <x v="24"/>
    <x v="5"/>
  </r>
  <r>
    <s v="T040"/>
    <n v="45323"/>
    <x v="2"/>
    <x v="1"/>
    <n v="4"/>
    <n v="20393"/>
    <x v="25"/>
    <x v="0"/>
  </r>
  <r>
    <s v="T047"/>
    <n v="45322"/>
    <x v="6"/>
    <x v="1"/>
    <n v="10"/>
    <n v="8242"/>
    <x v="26"/>
    <x v="5"/>
  </r>
  <r>
    <s v="T025"/>
    <n v="45333"/>
    <x v="4"/>
    <x v="2"/>
    <n v="2"/>
    <n v="41545"/>
    <x v="27"/>
    <x v="5"/>
  </r>
  <r>
    <s v="T042"/>
    <n v="45392"/>
    <x v="9"/>
    <x v="1"/>
    <n v="4"/>
    <n v="20869"/>
    <x v="28"/>
    <x v="1"/>
  </r>
  <r>
    <s v="T049"/>
    <n v="45495"/>
    <x v="5"/>
    <x v="0"/>
    <n v="10"/>
    <n v="9575"/>
    <x v="29"/>
    <x v="0"/>
  </r>
  <r>
    <s v="T045"/>
    <n v="45299"/>
    <x v="5"/>
    <x v="2"/>
    <n v="3"/>
    <n v="34052"/>
    <x v="30"/>
    <x v="2"/>
  </r>
  <r>
    <s v="T024"/>
    <n v="45403"/>
    <x v="5"/>
    <x v="2"/>
    <n v="5"/>
    <n v="20679"/>
    <x v="31"/>
    <x v="2"/>
  </r>
  <r>
    <s v="T031"/>
    <n v="45435"/>
    <x v="8"/>
    <x v="4"/>
    <n v="8"/>
    <n v="13385"/>
    <x v="32"/>
    <x v="4"/>
  </r>
  <r>
    <s v="T019"/>
    <n v="45320"/>
    <x v="7"/>
    <x v="7"/>
    <n v="4"/>
    <n v="28810"/>
    <x v="33"/>
    <x v="0"/>
  </r>
  <r>
    <s v="T029"/>
    <n v="45382"/>
    <x v="10"/>
    <x v="7"/>
    <n v="4"/>
    <n v="29120"/>
    <x v="34"/>
    <x v="4"/>
  </r>
  <r>
    <s v="T021"/>
    <n v="45310"/>
    <x v="2"/>
    <x v="0"/>
    <n v="5"/>
    <n v="24148"/>
    <x v="35"/>
    <x v="2"/>
  </r>
  <r>
    <s v="T012"/>
    <n v="45473"/>
    <x v="2"/>
    <x v="3"/>
    <n v="6"/>
    <n v="20576"/>
    <x v="36"/>
    <x v="1"/>
  </r>
  <r>
    <s v="T013"/>
    <n v="45432"/>
    <x v="7"/>
    <x v="2"/>
    <n v="6"/>
    <n v="22895"/>
    <x v="37"/>
    <x v="3"/>
  </r>
  <r>
    <s v="T010"/>
    <n v="45574"/>
    <x v="7"/>
    <x v="2"/>
    <n v="3"/>
    <n v="48084"/>
    <x v="38"/>
    <x v="1"/>
  </r>
  <r>
    <s v="T041"/>
    <n v="45475"/>
    <x v="6"/>
    <x v="6"/>
    <n v="5"/>
    <n v="33106"/>
    <x v="39"/>
    <x v="2"/>
  </r>
  <r>
    <s v="T035"/>
    <n v="45407"/>
    <x v="6"/>
    <x v="6"/>
    <n v="6"/>
    <n v="31522"/>
    <x v="40"/>
    <x v="1"/>
  </r>
  <r>
    <s v="T028"/>
    <n v="45370"/>
    <x v="5"/>
    <x v="1"/>
    <n v="7"/>
    <n v="27356"/>
    <x v="41"/>
    <x v="4"/>
  </r>
  <r>
    <s v="T008"/>
    <n v="45357"/>
    <x v="2"/>
    <x v="3"/>
    <n v="5"/>
    <n v="40590"/>
    <x v="42"/>
    <x v="0"/>
  </r>
  <r>
    <s v="T017"/>
    <n v="45553"/>
    <x v="4"/>
    <x v="5"/>
    <n v="7"/>
    <n v="31140"/>
    <x v="43"/>
    <x v="2"/>
  </r>
  <r>
    <s v="T014"/>
    <n v="45467"/>
    <x v="7"/>
    <x v="4"/>
    <n v="5"/>
    <n v="43671"/>
    <x v="44"/>
    <x v="3"/>
  </r>
  <r>
    <s v="T007"/>
    <n v="45362"/>
    <x v="6"/>
    <x v="3"/>
    <n v="7"/>
    <n v="32236"/>
    <x v="45"/>
    <x v="2"/>
  </r>
  <r>
    <s v="T015"/>
    <n v="45536"/>
    <x v="8"/>
    <x v="5"/>
    <n v="8"/>
    <n v="34169"/>
    <x v="46"/>
    <x v="3"/>
  </r>
  <r>
    <s v="T050"/>
    <n v="45305"/>
    <x v="4"/>
    <x v="5"/>
    <n v="10"/>
    <n v="32061"/>
    <x v="47"/>
    <x v="4"/>
  </r>
  <r>
    <s v="T011"/>
    <n v="45389"/>
    <x v="5"/>
    <x v="0"/>
    <n v="9"/>
    <n v="44080"/>
    <x v="48"/>
    <x v="4"/>
  </r>
  <r>
    <s v="T027"/>
    <n v="45519"/>
    <x v="6"/>
    <x v="2"/>
    <n v="10"/>
    <n v="48992"/>
    <x v="49"/>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F376A6-0A03-4C3C-9F9E-7441C467F01E}" name="PivotTable1" cacheId="0" applyNumberFormats="0" applyBorderFormats="0" applyFontFormats="0" applyPatternFormats="0" applyAlignmentFormats="0" applyWidthHeightFormats="1" dataCaption="Values" updatedVersion="8" minRefreshableVersion="3" itemPrintTitles="1" createdVersion="8" indent="14" outline="1" outlineData="1" multipleFieldFilters="0" chartFormat="24" rowHeaderCaption="CITY">
  <location ref="B8:C15" firstHeaderRow="1" firstDataRow="1" firstDataCol="1"/>
  <pivotFields count="8">
    <pivotField showAll="0"/>
    <pivotField showAll="0"/>
    <pivotField showAll="0">
      <items count="12">
        <item x="2"/>
        <item x="5"/>
        <item x="1"/>
        <item x="4"/>
        <item x="10"/>
        <item x="7"/>
        <item x="3"/>
        <item x="8"/>
        <item x="6"/>
        <item x="0"/>
        <item x="9"/>
        <item t="default"/>
      </items>
    </pivotField>
    <pivotField showAll="0">
      <items count="9">
        <item x="3"/>
        <item x="5"/>
        <item x="4"/>
        <item x="1"/>
        <item x="6"/>
        <item x="7"/>
        <item x="0"/>
        <item x="2"/>
        <item t="default"/>
      </items>
    </pivotField>
    <pivotField showAll="0"/>
    <pivotField showAll="0"/>
    <pivotField dataField="1" multipleItemSelectionAllowed="1" showAll="0">
      <items count="51">
        <item x="0"/>
        <item x="1"/>
        <item x="2"/>
        <item x="3"/>
        <item x="4"/>
        <item x="5"/>
        <item h="1"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axis="axisRow" showAll="0">
      <items count="7">
        <item x="3"/>
        <item x="5"/>
        <item x="4"/>
        <item x="2"/>
        <item x="1"/>
        <item x="0"/>
        <item t="default"/>
      </items>
    </pivotField>
  </pivotFields>
  <rowFields count="1">
    <field x="7"/>
  </rowFields>
  <rowItems count="7">
    <i>
      <x/>
    </i>
    <i>
      <x v="1"/>
    </i>
    <i>
      <x v="2"/>
    </i>
    <i>
      <x v="3"/>
    </i>
    <i>
      <x v="4"/>
    </i>
    <i>
      <x v="5"/>
    </i>
    <i t="grand">
      <x/>
    </i>
  </rowItems>
  <colItems count="1">
    <i/>
  </colItems>
  <dataFields count="1">
    <dataField name="TOTAL SALES" fld="6" baseField="7" baseItem="0"/>
  </dataFields>
  <formats count="14">
    <format dxfId="112">
      <pivotArea field="7" type="button" dataOnly="0" labelOnly="1" outline="0" axis="axisRow" fieldPosition="0"/>
    </format>
    <format dxfId="113">
      <pivotArea dataOnly="0" labelOnly="1" outline="0" axis="axisValues" fieldPosition="0"/>
    </format>
    <format dxfId="114">
      <pivotArea type="all" dataOnly="0" outline="0" fieldPosition="0"/>
    </format>
    <format dxfId="115">
      <pivotArea outline="0" collapsedLevelsAreSubtotals="1" fieldPosition="0"/>
    </format>
    <format dxfId="116">
      <pivotArea field="7" type="button" dataOnly="0" labelOnly="1" outline="0" axis="axisRow" fieldPosition="0"/>
    </format>
    <format dxfId="117">
      <pivotArea dataOnly="0" labelOnly="1" fieldPosition="0">
        <references count="1">
          <reference field="7" count="0"/>
        </references>
      </pivotArea>
    </format>
    <format dxfId="118">
      <pivotArea dataOnly="0" labelOnly="1" grandRow="1" outline="0" fieldPosition="0"/>
    </format>
    <format dxfId="119">
      <pivotArea dataOnly="0" labelOnly="1" outline="0" axis="axisValues" fieldPosition="0"/>
    </format>
    <format dxfId="120">
      <pivotArea type="all" dataOnly="0" outline="0" fieldPosition="0"/>
    </format>
    <format dxfId="121">
      <pivotArea outline="0" collapsedLevelsAreSubtotals="1" fieldPosition="0"/>
    </format>
    <format dxfId="122">
      <pivotArea field="7" type="button" dataOnly="0" labelOnly="1" outline="0" axis="axisRow" fieldPosition="0"/>
    </format>
    <format dxfId="123">
      <pivotArea dataOnly="0" labelOnly="1" fieldPosition="0">
        <references count="1">
          <reference field="7" count="0"/>
        </references>
      </pivotArea>
    </format>
    <format dxfId="124">
      <pivotArea dataOnly="0" labelOnly="1" grandRow="1" outline="0" fieldPosition="0"/>
    </format>
    <format dxfId="125">
      <pivotArea dataOnly="0" labelOnly="1" outline="0" axis="axisValues" fieldPosition="0"/>
    </format>
  </formats>
  <chartFormats count="32">
    <chartFormat chart="0" format="0" series="1">
      <pivotArea type="data" outline="0" fieldPosition="0">
        <references count="1">
          <reference field="7" count="1" selected="0">
            <x v="0"/>
          </reference>
        </references>
      </pivotArea>
    </chartFormat>
    <chartFormat chart="0" format="1" series="1">
      <pivotArea type="data" outline="0" fieldPosition="0">
        <references count="1">
          <reference field="7" count="1" selected="0">
            <x v="1"/>
          </reference>
        </references>
      </pivotArea>
    </chartFormat>
    <chartFormat chart="0" format="2" series="1">
      <pivotArea type="data" outline="0" fieldPosition="0">
        <references count="1">
          <reference field="7" count="1" selected="0">
            <x v="2"/>
          </reference>
        </references>
      </pivotArea>
    </chartFormat>
    <chartFormat chart="0" format="3" series="1">
      <pivotArea type="data" outline="0" fieldPosition="0">
        <references count="1">
          <reference field="7" count="1" selected="0">
            <x v="3"/>
          </reference>
        </references>
      </pivotArea>
    </chartFormat>
    <chartFormat chart="0" format="4" series="1">
      <pivotArea type="data" outline="0" fieldPosition="0">
        <references count="1">
          <reference field="7" count="1" selected="0">
            <x v="4"/>
          </reference>
        </references>
      </pivotArea>
    </chartFormat>
    <chartFormat chart="0" format="5" series="1">
      <pivotArea type="data" outline="0" fieldPosition="0">
        <references count="1">
          <reference field="7" count="1" selected="0">
            <x v="5"/>
          </reference>
        </references>
      </pivotArea>
    </chartFormat>
    <chartFormat chart="3" format="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7" count="1" selected="0">
            <x v="5"/>
          </reference>
        </references>
      </pivotArea>
    </chartFormat>
    <chartFormat chart="3" format="10" series="1">
      <pivotArea type="data" outline="0" fieldPosition="0">
        <references count="2">
          <reference field="4294967294" count="1" selected="0">
            <x v="0"/>
          </reference>
          <reference field="7" count="1" selected="0">
            <x v="1"/>
          </reference>
        </references>
      </pivotArea>
    </chartFormat>
    <chartFormat chart="3" format="11" series="1">
      <pivotArea type="data" outline="0" fieldPosition="0">
        <references count="2">
          <reference field="4294967294" count="1" selected="0">
            <x v="0"/>
          </reference>
          <reference field="7" count="1" selected="0">
            <x v="2"/>
          </reference>
        </references>
      </pivotArea>
    </chartFormat>
    <chartFormat chart="3" format="12" series="1">
      <pivotArea type="data" outline="0" fieldPosition="0">
        <references count="2">
          <reference field="4294967294" count="1" selected="0">
            <x v="0"/>
          </reference>
          <reference field="7" count="1" selected="0">
            <x v="3"/>
          </reference>
        </references>
      </pivotArea>
    </chartFormat>
    <chartFormat chart="3" format="13" series="1">
      <pivotArea type="data" outline="0" fieldPosition="0">
        <references count="2">
          <reference field="4294967294" count="1" selected="0">
            <x v="0"/>
          </reference>
          <reference field="7" count="1" selected="0">
            <x v="4"/>
          </reference>
        </references>
      </pivotArea>
    </chartFormat>
    <chartFormat chart="3" format="14" series="1">
      <pivotArea type="data" outline="0" fieldPosition="0">
        <references count="2">
          <reference field="4294967294" count="1" selected="0">
            <x v="0"/>
          </reference>
          <reference field="7" count="1" selected="0">
            <x v="5"/>
          </reference>
        </references>
      </pivotArea>
    </chartFormat>
    <chartFormat chart="3" format="15" series="1">
      <pivotArea type="data" outline="0" fieldPosition="0">
        <references count="2">
          <reference field="4294967294" count="1" selected="0">
            <x v="0"/>
          </reference>
          <reference field="7" count="1" selected="0">
            <x v="0"/>
          </reference>
        </references>
      </pivotArea>
    </chartFormat>
    <chartFormat chart="0" format="20" series="1">
      <pivotArea type="data" outline="0" fieldPosition="0">
        <references count="2">
          <reference field="4294967294" count="1" selected="0">
            <x v="0"/>
          </reference>
          <reference field="7" count="1" selected="0">
            <x v="1"/>
          </reference>
        </references>
      </pivotArea>
    </chartFormat>
    <chartFormat chart="0" format="21" series="1">
      <pivotArea type="data" outline="0" fieldPosition="0">
        <references count="2">
          <reference field="4294967294" count="1" selected="0">
            <x v="0"/>
          </reference>
          <reference field="7" count="1" selected="0">
            <x v="2"/>
          </reference>
        </references>
      </pivotArea>
    </chartFormat>
    <chartFormat chart="0" format="22" series="1">
      <pivotArea type="data" outline="0" fieldPosition="0">
        <references count="2">
          <reference field="4294967294" count="1" selected="0">
            <x v="0"/>
          </reference>
          <reference field="7" count="1" selected="0">
            <x v="3"/>
          </reference>
        </references>
      </pivotArea>
    </chartFormat>
    <chartFormat chart="0" format="23" series="1">
      <pivotArea type="data" outline="0" fieldPosition="0">
        <references count="2">
          <reference field="4294967294" count="1" selected="0">
            <x v="0"/>
          </reference>
          <reference field="7" count="1" selected="0">
            <x v="4"/>
          </reference>
        </references>
      </pivotArea>
    </chartFormat>
    <chartFormat chart="0" format="24" series="1">
      <pivotArea type="data" outline="0" fieldPosition="0">
        <references count="2">
          <reference field="4294967294" count="1" selected="0">
            <x v="0"/>
          </reference>
          <reference field="7" count="1" selected="0">
            <x v="5"/>
          </reference>
        </references>
      </pivotArea>
    </chartFormat>
    <chartFormat chart="19" format="0" series="1">
      <pivotArea type="data" outline="0" fieldPosition="0">
        <references count="1">
          <reference field="4294967294" count="1" selected="0">
            <x v="0"/>
          </reference>
        </references>
      </pivotArea>
    </chartFormat>
    <chartFormat chart="0" format="25">
      <pivotArea type="data" outline="0" fieldPosition="0">
        <references count="2">
          <reference field="4294967294" count="1" selected="0">
            <x v="0"/>
          </reference>
          <reference field="7" count="1" selected="0">
            <x v="0"/>
          </reference>
        </references>
      </pivotArea>
    </chartFormat>
    <chartFormat chart="0" format="26">
      <pivotArea type="data" outline="0" fieldPosition="0">
        <references count="2">
          <reference field="4294967294" count="1" selected="0">
            <x v="0"/>
          </reference>
          <reference field="7" count="1" selected="0">
            <x v="1"/>
          </reference>
        </references>
      </pivotArea>
    </chartFormat>
    <chartFormat chart="0" format="27">
      <pivotArea type="data" outline="0" fieldPosition="0">
        <references count="2">
          <reference field="4294967294" count="1" selected="0">
            <x v="0"/>
          </reference>
          <reference field="7" count="1" selected="0">
            <x v="2"/>
          </reference>
        </references>
      </pivotArea>
    </chartFormat>
    <chartFormat chart="0" format="28">
      <pivotArea type="data" outline="0" fieldPosition="0">
        <references count="2">
          <reference field="4294967294" count="1" selected="0">
            <x v="0"/>
          </reference>
          <reference field="7" count="1" selected="0">
            <x v="3"/>
          </reference>
        </references>
      </pivotArea>
    </chartFormat>
    <chartFormat chart="0" format="29">
      <pivotArea type="data" outline="0" fieldPosition="0">
        <references count="2">
          <reference field="4294967294" count="1" selected="0">
            <x v="0"/>
          </reference>
          <reference field="7" count="1" selected="0">
            <x v="4"/>
          </reference>
        </references>
      </pivotArea>
    </chartFormat>
    <chartFormat chart="0" format="30">
      <pivotArea type="data" outline="0" fieldPosition="0">
        <references count="2">
          <reference field="4294967294" count="1" selected="0">
            <x v="0"/>
          </reference>
          <reference field="7" count="1" selected="0">
            <x v="5"/>
          </reference>
        </references>
      </pivotArea>
    </chartFormat>
    <chartFormat chart="3" format="16">
      <pivotArea type="data" outline="0" fieldPosition="0">
        <references count="2">
          <reference field="4294967294" count="1" selected="0">
            <x v="0"/>
          </reference>
          <reference field="7" count="1" selected="0">
            <x v="0"/>
          </reference>
        </references>
      </pivotArea>
    </chartFormat>
    <chartFormat chart="3" format="17">
      <pivotArea type="data" outline="0" fieldPosition="0">
        <references count="2">
          <reference field="4294967294" count="1" selected="0">
            <x v="0"/>
          </reference>
          <reference field="7" count="1" selected="0">
            <x v="1"/>
          </reference>
        </references>
      </pivotArea>
    </chartFormat>
    <chartFormat chart="3" format="18">
      <pivotArea type="data" outline="0" fieldPosition="0">
        <references count="2">
          <reference field="4294967294" count="1" selected="0">
            <x v="0"/>
          </reference>
          <reference field="7" count="1" selected="0">
            <x v="2"/>
          </reference>
        </references>
      </pivotArea>
    </chartFormat>
    <chartFormat chart="3" format="19">
      <pivotArea type="data" outline="0" fieldPosition="0">
        <references count="2">
          <reference field="4294967294" count="1" selected="0">
            <x v="0"/>
          </reference>
          <reference field="7" count="1" selected="0">
            <x v="3"/>
          </reference>
        </references>
      </pivotArea>
    </chartFormat>
    <chartFormat chart="3" format="20">
      <pivotArea type="data" outline="0" fieldPosition="0">
        <references count="2">
          <reference field="4294967294" count="1" selected="0">
            <x v="0"/>
          </reference>
          <reference field="7" count="1" selected="0">
            <x v="4"/>
          </reference>
        </references>
      </pivotArea>
    </chartFormat>
  </chartFormats>
  <pivotTableStyleInfo name="PivotStyleMedium18"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12</v>
    <v>B1</v>
    <v>0</v>
  </rv>
  <rv s="1">
    <v>12</v>
    <v>1</v>
  </rv>
</rvData>
</file>

<file path=xl/richData/rdrichvaluestructure.xml><?xml version="1.0" encoding="utf-8"?>
<rvStructures xmlns="http://schemas.microsoft.com/office/spreadsheetml/2017/richdata" count="2">
  <s t="_error">
    <k n="errorType" t="i"/>
    <k n="field" t="s"/>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1A7245A3-DE94-4DD8-9FAA-05800CB13D78}" sourceName="Product">
  <pivotTables>
    <pivotTable tabId="4" name="PivotTable1"/>
  </pivotTables>
  <data>
    <tabular pivotCacheId="1360962569">
      <items count="8">
        <i x="3" s="1"/>
        <i x="5" s="1"/>
        <i x="4" s="1"/>
        <i x="1" s="1"/>
        <i x="6" s="1"/>
        <i x="7"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E145F9D4-AF99-46E7-931B-D3CC35C018AB}" cache="Slicer_Product" caption="PRODUCT" style="SlicerStyleDark1" lockedPosition="1"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815ABB-AF77-4304-92DE-5D3E160599CB}" name="Table1" displayName="Table1" ref="A1:H51" totalsRowShown="0" headerRowDxfId="838" dataDxfId="836" headerRowBorderDxfId="837" tableBorderDxfId="835" totalsRowBorderDxfId="834">
  <autoFilter ref="A1:H51" xr:uid="{8E815ABB-AF77-4304-92DE-5D3E160599CB}"/>
  <tableColumns count="8">
    <tableColumn id="1" xr3:uid="{BB06F839-7930-4C4D-861F-84CAADB1B33C}" name="Transaction_ID" dataDxfId="833"/>
    <tableColumn id="2" xr3:uid="{CC4460BB-3805-4BDF-8948-0128EAD5D066}" name="Date" dataDxfId="832"/>
    <tableColumn id="3" xr3:uid="{D9EE9D37-0DA2-4287-9366-5863D57D8B94}" name="Customer_Name" dataDxfId="831"/>
    <tableColumn id="4" xr3:uid="{A224D417-0898-409C-A63B-3FDB6AEA8C64}" name="Product" dataDxfId="830"/>
    <tableColumn id="5" xr3:uid="{6EFF476C-02E7-4563-9004-4E0450180B0F}" name="Units_Sold" dataDxfId="829"/>
    <tableColumn id="6" xr3:uid="{8A06E85C-480D-4685-8940-1A8503E83495}" name="Price_Per_Unit" dataDxfId="828"/>
    <tableColumn id="7" xr3:uid="{4BB51F63-6E56-4CE3-930B-AFC7B96D538A}" name="Total_Sales" dataDxfId="827"/>
    <tableColumn id="8" xr3:uid="{6915646A-413E-4A24-8ACD-82C222FBF317}" name="City" dataDxfId="826"/>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61"/>
  <sheetViews>
    <sheetView tabSelected="1" zoomScale="86" zoomScaleNormal="145" workbookViewId="0">
      <selection activeCell="A20" sqref="A20"/>
    </sheetView>
  </sheetViews>
  <sheetFormatPr defaultRowHeight="14.4" x14ac:dyDescent="0.3"/>
  <cols>
    <col min="1" max="1" width="77.5546875" customWidth="1"/>
    <col min="2" max="2" width="14.5546875" style="7" customWidth="1"/>
    <col min="3" max="3" width="14.88671875" bestFit="1" customWidth="1"/>
    <col min="4" max="4" width="11.109375" bestFit="1" customWidth="1"/>
    <col min="5" max="5" width="9.6640625" bestFit="1" customWidth="1"/>
    <col min="6" max="6" width="14.21875" style="9" customWidth="1"/>
    <col min="7" max="7" width="11.33203125" customWidth="1"/>
    <col min="8" max="8" width="9.77734375" bestFit="1" customWidth="1"/>
    <col min="9" max="9" width="4.88671875" bestFit="1" customWidth="1"/>
    <col min="10" max="10" width="15.109375" bestFit="1" customWidth="1"/>
    <col min="11" max="11" width="7.5546875" customWidth="1"/>
    <col min="12" max="12" width="13.33203125" bestFit="1" customWidth="1"/>
    <col min="13" max="13" width="10.6640625" bestFit="1" customWidth="1"/>
    <col min="14" max="14" width="10.109375" bestFit="1" customWidth="1"/>
  </cols>
  <sheetData>
    <row r="1" spans="1:19" x14ac:dyDescent="0.3">
      <c r="A1" s="1"/>
      <c r="B1" s="6"/>
      <c r="C1" s="1"/>
      <c r="D1" s="1"/>
      <c r="E1" s="1"/>
      <c r="F1" s="8"/>
      <c r="G1" s="1"/>
      <c r="H1" s="1"/>
      <c r="I1" s="1"/>
      <c r="J1" s="1"/>
      <c r="K1" s="1"/>
      <c r="L1" s="1"/>
      <c r="M1" s="2"/>
      <c r="N1" s="1"/>
      <c r="O1" s="1"/>
      <c r="P1" s="1"/>
      <c r="Q1" s="1"/>
      <c r="R1" s="1"/>
      <c r="S1" s="1"/>
    </row>
    <row r="2" spans="1:19" x14ac:dyDescent="0.3">
      <c r="A2" t="e">
        <f>_xlfn.CONCAT(#REF!,#REF!,#REF!,#REF!,#REF!,#REF!,#REF!,#REF!)</f>
        <v>#REF!</v>
      </c>
      <c r="M2" s="3"/>
    </row>
    <row r="3" spans="1:19" x14ac:dyDescent="0.3">
      <c r="A3" t="e">
        <f>_xlfn.CONCAT(#REF!,#REF!,#REF!,#REF!,#REF!,#REF!,#REF!,#REF!)</f>
        <v>#REF!</v>
      </c>
      <c r="M3" s="3"/>
    </row>
    <row r="4" spans="1:19" x14ac:dyDescent="0.3">
      <c r="A4" t="e">
        <f>_xlfn.CONCAT(#REF!,#REF!,#REF!,#REF!,#REF!,#REF!,#REF!,#REF!)</f>
        <v>#REF!</v>
      </c>
      <c r="M4" s="3"/>
    </row>
    <row r="5" spans="1:19" x14ac:dyDescent="0.3">
      <c r="A5" t="e">
        <f>_xlfn.CONCAT(#REF!,#REF!,#REF!,#REF!,#REF!,#REF!,#REF!,#REF!)</f>
        <v>#REF!</v>
      </c>
      <c r="M5" s="3"/>
    </row>
    <row r="6" spans="1:19" x14ac:dyDescent="0.3">
      <c r="A6" t="e">
        <f>_xlfn.CONCAT(#REF!,#REF!,#REF!,#REF!,#REF!,#REF!,#REF!,#REF!)</f>
        <v>#REF!</v>
      </c>
      <c r="M6" s="3"/>
    </row>
    <row r="7" spans="1:19" x14ac:dyDescent="0.3">
      <c r="A7" t="e">
        <f>_xlfn.CONCAT(#REF!,#REF!,#REF!,#REF!,#REF!,#REF!,#REF!,#REF!)</f>
        <v>#REF!</v>
      </c>
      <c r="M7" s="3"/>
    </row>
    <row r="8" spans="1:19" x14ac:dyDescent="0.3">
      <c r="A8" t="e">
        <f>_xlfn.CONCAT(#REF!,#REF!,#REF!,#REF!,#REF!,#REF!,#REF!,#REF!)</f>
        <v>#REF!</v>
      </c>
      <c r="M8" s="3"/>
    </row>
    <row r="9" spans="1:19" x14ac:dyDescent="0.3">
      <c r="A9" t="e">
        <f>_xlfn.CONCAT(#REF!,#REF!,#REF!,#REF!,#REF!,#REF!,#REF!,#REF!)</f>
        <v>#REF!</v>
      </c>
      <c r="M9" s="3"/>
    </row>
    <row r="10" spans="1:19" x14ac:dyDescent="0.3">
      <c r="A10" t="e" vm="1">
        <v>#VALUE!</v>
      </c>
      <c r="M10" s="3"/>
    </row>
    <row r="11" spans="1:19" ht="31.8" customHeight="1" x14ac:dyDescent="0.3">
      <c r="A11" t="s">
        <v>84</v>
      </c>
      <c r="M11" s="3"/>
    </row>
    <row r="12" spans="1:19" x14ac:dyDescent="0.3">
      <c r="A12" t="s">
        <v>85</v>
      </c>
    </row>
    <row r="13" spans="1:19" x14ac:dyDescent="0.3">
      <c r="A13" t="s">
        <v>86</v>
      </c>
    </row>
    <row r="14" spans="1:19" x14ac:dyDescent="0.3">
      <c r="A14" t="s">
        <v>87</v>
      </c>
    </row>
    <row r="15" spans="1:19" x14ac:dyDescent="0.3">
      <c r="A15" t="s">
        <v>88</v>
      </c>
    </row>
    <row r="16" spans="1:19" x14ac:dyDescent="0.3">
      <c r="A16" t="s">
        <v>89</v>
      </c>
    </row>
    <row r="17" spans="1:1" x14ac:dyDescent="0.3">
      <c r="A17" t="s">
        <v>90</v>
      </c>
    </row>
    <row r="18" spans="1:1" x14ac:dyDescent="0.3">
      <c r="A18" t="s">
        <v>91</v>
      </c>
    </row>
    <row r="19" spans="1:1" x14ac:dyDescent="0.3">
      <c r="A19" t="s">
        <v>92</v>
      </c>
    </row>
    <row r="20" spans="1:1" x14ac:dyDescent="0.3">
      <c r="A20" t="s">
        <v>93</v>
      </c>
    </row>
    <row r="21" spans="1:1" x14ac:dyDescent="0.3">
      <c r="A21" t="s">
        <v>94</v>
      </c>
    </row>
    <row r="22" spans="1:1" x14ac:dyDescent="0.3">
      <c r="A22" t="s">
        <v>95</v>
      </c>
    </row>
    <row r="23" spans="1:1" x14ac:dyDescent="0.3">
      <c r="A23" t="s">
        <v>96</v>
      </c>
    </row>
    <row r="24" spans="1:1" x14ac:dyDescent="0.3">
      <c r="A24" t="s">
        <v>97</v>
      </c>
    </row>
    <row r="25" spans="1:1" x14ac:dyDescent="0.3">
      <c r="A25" t="s">
        <v>98</v>
      </c>
    </row>
    <row r="26" spans="1:1" x14ac:dyDescent="0.3">
      <c r="A26" t="s">
        <v>99</v>
      </c>
    </row>
    <row r="27" spans="1:1" x14ac:dyDescent="0.3">
      <c r="A27" t="s">
        <v>100</v>
      </c>
    </row>
    <row r="28" spans="1:1" x14ac:dyDescent="0.3">
      <c r="A28" t="s">
        <v>101</v>
      </c>
    </row>
    <row r="29" spans="1:1" x14ac:dyDescent="0.3">
      <c r="A29" t="s">
        <v>102</v>
      </c>
    </row>
    <row r="30" spans="1:1" x14ac:dyDescent="0.3">
      <c r="A30" t="s">
        <v>103</v>
      </c>
    </row>
    <row r="31" spans="1:1" x14ac:dyDescent="0.3">
      <c r="A31" t="s">
        <v>104</v>
      </c>
    </row>
    <row r="32" spans="1:1" x14ac:dyDescent="0.3">
      <c r="A32" t="s">
        <v>105</v>
      </c>
    </row>
    <row r="33" spans="1:1" x14ac:dyDescent="0.3">
      <c r="A33" t="s">
        <v>106</v>
      </c>
    </row>
    <row r="34" spans="1:1" x14ac:dyDescent="0.3">
      <c r="A34" t="s">
        <v>107</v>
      </c>
    </row>
    <row r="35" spans="1:1" x14ac:dyDescent="0.3">
      <c r="A35" t="s">
        <v>108</v>
      </c>
    </row>
    <row r="36" spans="1:1" x14ac:dyDescent="0.3">
      <c r="A36" t="s">
        <v>109</v>
      </c>
    </row>
    <row r="37" spans="1:1" x14ac:dyDescent="0.3">
      <c r="A37" t="s">
        <v>110</v>
      </c>
    </row>
    <row r="38" spans="1:1" x14ac:dyDescent="0.3">
      <c r="A38" t="s">
        <v>111</v>
      </c>
    </row>
    <row r="39" spans="1:1" x14ac:dyDescent="0.3">
      <c r="A39" t="s">
        <v>112</v>
      </c>
    </row>
    <row r="40" spans="1:1" x14ac:dyDescent="0.3">
      <c r="A40" t="s">
        <v>113</v>
      </c>
    </row>
    <row r="41" spans="1:1" x14ac:dyDescent="0.3">
      <c r="A41" t="s">
        <v>114</v>
      </c>
    </row>
    <row r="42" spans="1:1" x14ac:dyDescent="0.3">
      <c r="A42" t="s">
        <v>115</v>
      </c>
    </row>
    <row r="43" spans="1:1" x14ac:dyDescent="0.3">
      <c r="A43" t="s">
        <v>116</v>
      </c>
    </row>
    <row r="44" spans="1:1" x14ac:dyDescent="0.3">
      <c r="A44" t="s">
        <v>117</v>
      </c>
    </row>
    <row r="45" spans="1:1" x14ac:dyDescent="0.3">
      <c r="A45" t="s">
        <v>118</v>
      </c>
    </row>
    <row r="46" spans="1:1" x14ac:dyDescent="0.3">
      <c r="A46" t="s">
        <v>119</v>
      </c>
    </row>
    <row r="47" spans="1:1" x14ac:dyDescent="0.3">
      <c r="A47" t="s">
        <v>120</v>
      </c>
    </row>
    <row r="48" spans="1:1" x14ac:dyDescent="0.3">
      <c r="A48" t="s">
        <v>121</v>
      </c>
    </row>
    <row r="49" spans="1:6" x14ac:dyDescent="0.3">
      <c r="A49" t="s">
        <v>122</v>
      </c>
    </row>
    <row r="50" spans="1:6" x14ac:dyDescent="0.3">
      <c r="A50" t="s">
        <v>123</v>
      </c>
    </row>
    <row r="51" spans="1:6" x14ac:dyDescent="0.3">
      <c r="A51" t="s">
        <v>124</v>
      </c>
    </row>
    <row r="52" spans="1:6" x14ac:dyDescent="0.3">
      <c r="A52" t="s">
        <v>125</v>
      </c>
    </row>
    <row r="53" spans="1:6" x14ac:dyDescent="0.3">
      <c r="A53" t="s">
        <v>126</v>
      </c>
    </row>
    <row r="54" spans="1:6" x14ac:dyDescent="0.3">
      <c r="A54" t="s">
        <v>127</v>
      </c>
    </row>
    <row r="55" spans="1:6" x14ac:dyDescent="0.3">
      <c r="A55" t="s">
        <v>128</v>
      </c>
      <c r="B55"/>
      <c r="F55"/>
    </row>
    <row r="56" spans="1:6" x14ac:dyDescent="0.3">
      <c r="A56" t="s">
        <v>129</v>
      </c>
    </row>
    <row r="57" spans="1:6" x14ac:dyDescent="0.3">
      <c r="A57" t="s">
        <v>130</v>
      </c>
    </row>
    <row r="58" spans="1:6" x14ac:dyDescent="0.3">
      <c r="A58" t="s">
        <v>131</v>
      </c>
    </row>
    <row r="59" spans="1:6" x14ac:dyDescent="0.3">
      <c r="A59" t="s">
        <v>132</v>
      </c>
    </row>
    <row r="60" spans="1:6" x14ac:dyDescent="0.3">
      <c r="A60" t="s">
        <v>133</v>
      </c>
    </row>
    <row r="61" spans="1:6" x14ac:dyDescent="0.3">
      <c r="A61" t="s">
        <v>134</v>
      </c>
    </row>
    <row r="62" spans="1:6" x14ac:dyDescent="0.3">
      <c r="A62" t="e">
        <f>_xlfn.CONCAT(A8,B8,C8,D8,E8,F8,G8,H8)</f>
        <v>#REF!</v>
      </c>
    </row>
    <row r="63" spans="1:6" x14ac:dyDescent="0.3">
      <c r="A63" t="e">
        <f t="shared" ref="A63:A64" si="0">_xlfn.CONCAT(A9,B9,C9,D9,E9,F9,G9,H9)</f>
        <v>#REF!</v>
      </c>
    </row>
    <row r="64" spans="1:6" x14ac:dyDescent="0.3">
      <c r="A64" t="e" vm="2">
        <f t="shared" si="0"/>
        <v>#VALUE!</v>
      </c>
    </row>
    <row r="65" spans="1:1" x14ac:dyDescent="0.3">
      <c r="A65" t="str">
        <f t="shared" ref="A65:A108" si="1">_xlfn.CONCAT(A11,B11,C11,D11,E11,F11,G11,H11)</f>
        <v>Transaction_IDDateCustomer_NameProductUnits_SoldPrice_Per_UnitTotal_SalesCity</v>
      </c>
    </row>
    <row r="66" spans="1:1" x14ac:dyDescent="0.3">
      <c r="A66" t="str">
        <f t="shared" si="1"/>
        <v>T03845442Sneha GuptaTablet317645292Pune</v>
      </c>
    </row>
    <row r="67" spans="1:1" x14ac:dyDescent="0.3">
      <c r="A67" t="str">
        <f t="shared" si="1"/>
        <v>T04845296KaranMonitor239637926Mumbai</v>
      </c>
    </row>
    <row r="68" spans="1:1" x14ac:dyDescent="0.3">
      <c r="A68" t="str">
        <f t="shared" si="1"/>
        <v>T03045584AmitWebcam2538910778Hyderabad</v>
      </c>
    </row>
    <row r="69" spans="1:1" x14ac:dyDescent="0.3">
      <c r="A69" t="str">
        <f t="shared" si="1"/>
        <v>T03645420Priya GuptaTablet3448613458Hyderabad</v>
      </c>
    </row>
    <row r="70" spans="1:1" x14ac:dyDescent="0.3">
      <c r="A70" t="str">
        <f t="shared" si="1"/>
        <v>T01845525NehaTablet11578715787Mumbai</v>
      </c>
    </row>
    <row r="71" spans="1:1" x14ac:dyDescent="0.3">
      <c r="A71" t="str">
        <f t="shared" si="1"/>
        <v>T00645309KaranHeadphones12004020040Bengaluru</v>
      </c>
    </row>
    <row r="72" spans="1:1" x14ac:dyDescent="0.3">
      <c r="A72" t="str">
        <f t="shared" si="1"/>
        <v>T00545479AmitWebcam12295522955Mumbai</v>
      </c>
    </row>
    <row r="73" spans="1:1" x14ac:dyDescent="0.3">
      <c r="A73" t="str">
        <f t="shared" si="1"/>
        <v>T04445499AnitaMonitor13161731617Delhi</v>
      </c>
    </row>
    <row r="74" spans="1:1" x14ac:dyDescent="0.3">
      <c r="A74" t="str">
        <f t="shared" si="1"/>
        <v>T03445314SnehaLaptop21834436688Pune</v>
      </c>
    </row>
    <row r="75" spans="1:1" x14ac:dyDescent="0.3">
      <c r="A75" t="str">
        <f t="shared" si="1"/>
        <v>T04645392NehaHeadphones13818238182Mumbai</v>
      </c>
    </row>
    <row r="76" spans="1:1" x14ac:dyDescent="0.3">
      <c r="A76" t="str">
        <f t="shared" si="1"/>
        <v>T00245375KaranKeyboard13967239672Pune</v>
      </c>
    </row>
    <row r="77" spans="1:1" x14ac:dyDescent="0.3">
      <c r="A77" t="str">
        <f t="shared" si="1"/>
        <v>T01645301PriyaTablet22024140482Pune</v>
      </c>
    </row>
    <row r="78" spans="1:1" x14ac:dyDescent="0.3">
      <c r="A78" t="str">
        <f t="shared" si="1"/>
        <v>T02645306RahulMouse5838141905Mumbai</v>
      </c>
    </row>
    <row r="79" spans="1:1" x14ac:dyDescent="0.3">
      <c r="A79" t="str">
        <f t="shared" si="1"/>
        <v>T00445331RahulMouse5923646180Delhi</v>
      </c>
    </row>
    <row r="80" spans="1:1" x14ac:dyDescent="0.3">
      <c r="A80" t="str">
        <f t="shared" si="1"/>
        <v>T04345554KaranPrinter14877748777Chennai</v>
      </c>
    </row>
    <row r="81" spans="1:1" x14ac:dyDescent="0.3">
      <c r="A81" t="str">
        <f t="shared" si="1"/>
        <v>T02245362VikramTablet14977349773Delhi</v>
      </c>
    </row>
    <row r="82" spans="1:1" x14ac:dyDescent="0.3">
      <c r="A82" t="str">
        <f t="shared" si="1"/>
        <v>T00145506PoojaWebcam22518750374Delhi</v>
      </c>
    </row>
    <row r="83" spans="1:1" x14ac:dyDescent="0.3">
      <c r="A83" t="str">
        <f t="shared" si="1"/>
        <v>T03745318SnehaTablet6854351258Bengaluru</v>
      </c>
    </row>
    <row r="84" spans="1:1" x14ac:dyDescent="0.3">
      <c r="A84" t="str">
        <f t="shared" si="1"/>
        <v>T03945529RahulWebcam61033361998Pune</v>
      </c>
    </row>
    <row r="85" spans="1:1" x14ac:dyDescent="0.3">
      <c r="A85" t="str">
        <f t="shared" si="1"/>
        <v>T00945495AmitMouse32075662268Hyderabad</v>
      </c>
    </row>
    <row r="86" spans="1:1" x14ac:dyDescent="0.3">
      <c r="A86" t="str">
        <f t="shared" si="1"/>
        <v>T03245574KaranKeyboard41573362932Pune</v>
      </c>
    </row>
    <row r="87" spans="1:1" x14ac:dyDescent="0.3">
      <c r="A87" t="str">
        <f t="shared" si="1"/>
        <v>T00345483SnehaMouse32102563075Hyderabad</v>
      </c>
    </row>
    <row r="88" spans="1:1" x14ac:dyDescent="0.3">
      <c r="A88" t="str">
        <f t="shared" si="1"/>
        <v>T02045343RahulWebcam32611578345Chennai</v>
      </c>
    </row>
    <row r="89" spans="1:1" x14ac:dyDescent="0.3">
      <c r="A89" t="str">
        <f t="shared" si="1"/>
        <v>T03345550PoojaPrinter23938678772Bengaluru</v>
      </c>
    </row>
    <row r="90" spans="1:1" x14ac:dyDescent="0.3">
      <c r="A90" t="str">
        <f t="shared" si="1"/>
        <v>T02345569NehaLaptop23996679932Chennai</v>
      </c>
    </row>
    <row r="91" spans="1:1" x14ac:dyDescent="0.3">
      <c r="A91" t="str">
        <f t="shared" si="1"/>
        <v>T04045323AmitMonitor42039381572Pune</v>
      </c>
    </row>
    <row r="92" spans="1:1" x14ac:dyDescent="0.3">
      <c r="A92" t="str">
        <f t="shared" si="1"/>
        <v>T04745322SnehaMonitor10824282420Chennai</v>
      </c>
    </row>
    <row r="93" spans="1:1" x14ac:dyDescent="0.3">
      <c r="A93" t="str">
        <f t="shared" si="1"/>
        <v>T02545333NehaWebcam24154583090Chennai</v>
      </c>
    </row>
    <row r="94" spans="1:1" x14ac:dyDescent="0.3">
      <c r="A94" t="str">
        <f t="shared" si="1"/>
        <v>T04245392VikramMonitor42086983476Mumbai</v>
      </c>
    </row>
    <row r="95" spans="1:1" x14ac:dyDescent="0.3">
      <c r="A95" t="str">
        <f t="shared" si="1"/>
        <v>T04945495AnitaTablet10957595750Pune</v>
      </c>
    </row>
    <row r="96" spans="1:1" x14ac:dyDescent="0.3">
      <c r="A96" t="str">
        <f t="shared" si="1"/>
        <v>T04545299AnitaWebcam334052102156Hyderabad</v>
      </c>
    </row>
    <row r="97" spans="1:2" x14ac:dyDescent="0.3">
      <c r="A97" t="str">
        <f t="shared" si="1"/>
        <v>T02445403AnitaWebcam520679103395Hyderabad</v>
      </c>
    </row>
    <row r="98" spans="1:2" x14ac:dyDescent="0.3">
      <c r="A98" t="str">
        <f t="shared" si="1"/>
        <v>T03145435RahulLaptop813385107080Delhi</v>
      </c>
    </row>
    <row r="99" spans="1:2" x14ac:dyDescent="0.3">
      <c r="A99" t="str">
        <f t="shared" si="1"/>
        <v>T01945320PriyaPrinter428810115240Pune</v>
      </c>
    </row>
    <row r="100" spans="1:2" x14ac:dyDescent="0.3">
      <c r="A100" t="str">
        <f t="shared" si="1"/>
        <v>T02945382PoojaPrinter429120116480Delhi</v>
      </c>
    </row>
    <row r="101" spans="1:2" x14ac:dyDescent="0.3">
      <c r="A101" t="str">
        <f t="shared" si="1"/>
        <v>T02145310AmitTablet524148120740Hyderabad</v>
      </c>
    </row>
    <row r="102" spans="1:2" x14ac:dyDescent="0.3">
      <c r="A102" t="str">
        <f t="shared" si="1"/>
        <v>T01245473AmitHeadphones620576123456Mumbai</v>
      </c>
    </row>
    <row r="103" spans="1:2" x14ac:dyDescent="0.3">
      <c r="A103" t="str">
        <f t="shared" si="1"/>
        <v>T01345432PriyaWebcam622895137370Bengaluru</v>
      </c>
    </row>
    <row r="104" spans="1:2" x14ac:dyDescent="0.3">
      <c r="A104" t="str">
        <f t="shared" si="1"/>
        <v>T01045574PriyaWebcam348084144252Mumbai</v>
      </c>
    </row>
    <row r="105" spans="1:2" x14ac:dyDescent="0.3">
      <c r="A105" t="str">
        <f t="shared" si="1"/>
        <v>T04145475SnehaMouse533106165530Hyderabad</v>
      </c>
    </row>
    <row r="106" spans="1:2" x14ac:dyDescent="0.3">
      <c r="A106" t="str">
        <f t="shared" si="1"/>
        <v>T03545407SnehaMouse631522189132Mumbai</v>
      </c>
    </row>
    <row r="107" spans="1:2" x14ac:dyDescent="0.3">
      <c r="A107" t="str">
        <f t="shared" si="1"/>
        <v>T02845370AnitaMonitor727356191492Delhi</v>
      </c>
    </row>
    <row r="108" spans="1:2" x14ac:dyDescent="0.3">
      <c r="A108" t="str">
        <f t="shared" si="1"/>
        <v>T00845357AmitHeadphones540590202950Pune</v>
      </c>
    </row>
    <row r="109" spans="1:2" x14ac:dyDescent="0.3">
      <c r="A109" t="s">
        <v>129</v>
      </c>
    </row>
    <row r="110" spans="1:2" ht="409.2" customHeight="1" x14ac:dyDescent="0.3">
      <c r="A110" t="s">
        <v>130</v>
      </c>
    </row>
    <row r="111" spans="1:2" ht="409.2" customHeight="1" x14ac:dyDescent="0.3">
      <c r="A111" t="s">
        <v>131</v>
      </c>
    </row>
    <row r="112" spans="1:2" ht="409.2" customHeight="1" x14ac:dyDescent="0.3">
      <c r="A112" t="s">
        <v>132</v>
      </c>
      <c r="B112"/>
    </row>
    <row r="113" spans="1:1" ht="408.6" customHeight="1" x14ac:dyDescent="0.3">
      <c r="A113" t="s">
        <v>133</v>
      </c>
    </row>
    <row r="114" spans="1:1" ht="157.19999999999999" customHeight="1" x14ac:dyDescent="0.3">
      <c r="A114" t="s">
        <v>134</v>
      </c>
    </row>
    <row r="115" spans="1:1" ht="157.19999999999999" customHeight="1" x14ac:dyDescent="0.3">
      <c r="A115" t="str">
        <f t="shared" ref="A115:A161" si="2">_xlfn.CONCAT(A61,B61,C61,D61,E61,F61,G61,H61)</f>
        <v>T02745519SnehaWebcam1048992489920Hyderabad</v>
      </c>
    </row>
    <row r="116" spans="1:1" ht="157.19999999999999" customHeight="1" x14ac:dyDescent="0.3">
      <c r="A116" t="e">
        <f t="shared" si="2"/>
        <v>#REF!</v>
      </c>
    </row>
    <row r="117" spans="1:1" ht="157.19999999999999" customHeight="1" x14ac:dyDescent="0.3">
      <c r="A117" t="e">
        <f t="shared" si="2"/>
        <v>#REF!</v>
      </c>
    </row>
    <row r="118" spans="1:1" ht="157.19999999999999" customHeight="1" x14ac:dyDescent="0.3">
      <c r="A118" t="e" vm="2">
        <f t="shared" si="2"/>
        <v>#VALUE!</v>
      </c>
    </row>
    <row r="119" spans="1:1" ht="157.19999999999999" customHeight="1" x14ac:dyDescent="0.3">
      <c r="A119" t="str">
        <f t="shared" si="2"/>
        <v>Transaction_IDDateCustomer_NameProductUnits_SoldPrice_Per_UnitTotal_SalesCity</v>
      </c>
    </row>
    <row r="120" spans="1:1" ht="157.19999999999999" customHeight="1" x14ac:dyDescent="0.3">
      <c r="A120" t="str">
        <f t="shared" si="2"/>
        <v>T03845442Sneha GuptaTablet317645292Pune</v>
      </c>
    </row>
    <row r="121" spans="1:1" ht="157.19999999999999" customHeight="1" x14ac:dyDescent="0.3">
      <c r="A121" t="str">
        <f t="shared" si="2"/>
        <v>T04845296KaranMonitor239637926Mumbai</v>
      </c>
    </row>
    <row r="122" spans="1:1" ht="157.19999999999999" customHeight="1" x14ac:dyDescent="0.3">
      <c r="A122" t="str">
        <f t="shared" si="2"/>
        <v>T03045584AmitWebcam2538910778Hyderabad</v>
      </c>
    </row>
    <row r="123" spans="1:1" ht="157.19999999999999" customHeight="1" x14ac:dyDescent="0.3">
      <c r="A123" t="str">
        <f t="shared" si="2"/>
        <v>T03645420Priya GuptaTablet3448613458Hyderabad</v>
      </c>
    </row>
    <row r="124" spans="1:1" ht="157.19999999999999" customHeight="1" x14ac:dyDescent="0.3">
      <c r="A124" t="str">
        <f t="shared" si="2"/>
        <v>T01845525NehaTablet11578715787Mumbai</v>
      </c>
    </row>
    <row r="125" spans="1:1" ht="157.19999999999999" customHeight="1" x14ac:dyDescent="0.3">
      <c r="A125" t="str">
        <f t="shared" si="2"/>
        <v>T00645309KaranHeadphones12004020040Bengaluru</v>
      </c>
    </row>
    <row r="126" spans="1:1" ht="157.19999999999999" customHeight="1" x14ac:dyDescent="0.3">
      <c r="A126" t="str">
        <f t="shared" si="2"/>
        <v>T00545479AmitWebcam12295522955Mumbai</v>
      </c>
    </row>
    <row r="127" spans="1:1" ht="157.19999999999999" customHeight="1" x14ac:dyDescent="0.3">
      <c r="A127" t="str">
        <f t="shared" si="2"/>
        <v>T04445499AnitaMonitor13161731617Delhi</v>
      </c>
    </row>
    <row r="128" spans="1:1" ht="157.19999999999999" customHeight="1" x14ac:dyDescent="0.3">
      <c r="A128" t="str">
        <f t="shared" si="2"/>
        <v>T03445314SnehaLaptop21834436688Pune</v>
      </c>
    </row>
    <row r="129" spans="1:1" ht="157.19999999999999" customHeight="1" x14ac:dyDescent="0.3">
      <c r="A129" t="str">
        <f t="shared" si="2"/>
        <v>T04645392NehaHeadphones13818238182Mumbai</v>
      </c>
    </row>
    <row r="130" spans="1:1" ht="157.19999999999999" customHeight="1" x14ac:dyDescent="0.3">
      <c r="A130" t="str">
        <f t="shared" si="2"/>
        <v>T00245375KaranKeyboard13967239672Pune</v>
      </c>
    </row>
    <row r="131" spans="1:1" ht="157.19999999999999" customHeight="1" x14ac:dyDescent="0.3">
      <c r="A131" t="str">
        <f t="shared" si="2"/>
        <v>T01645301PriyaTablet22024140482Pune</v>
      </c>
    </row>
    <row r="132" spans="1:1" ht="157.19999999999999" customHeight="1" x14ac:dyDescent="0.3">
      <c r="A132" t="str">
        <f t="shared" si="2"/>
        <v>T02645306RahulMouse5838141905Mumbai</v>
      </c>
    </row>
    <row r="133" spans="1:1" ht="157.19999999999999" customHeight="1" x14ac:dyDescent="0.3">
      <c r="A133" t="str">
        <f t="shared" si="2"/>
        <v>T00445331RahulMouse5923646180Delhi</v>
      </c>
    </row>
    <row r="134" spans="1:1" ht="157.19999999999999" customHeight="1" x14ac:dyDescent="0.3">
      <c r="A134" t="str">
        <f t="shared" si="2"/>
        <v>T04345554KaranPrinter14877748777Chennai</v>
      </c>
    </row>
    <row r="135" spans="1:1" ht="157.19999999999999" customHeight="1" x14ac:dyDescent="0.3">
      <c r="A135" t="str">
        <f t="shared" si="2"/>
        <v>T02245362VikramTablet14977349773Delhi</v>
      </c>
    </row>
    <row r="136" spans="1:1" x14ac:dyDescent="0.3">
      <c r="A136" t="str">
        <f t="shared" si="2"/>
        <v>T00145506PoojaWebcam22518750374Delhi</v>
      </c>
    </row>
    <row r="137" spans="1:1" x14ac:dyDescent="0.3">
      <c r="A137" t="str">
        <f t="shared" si="2"/>
        <v>T03745318SnehaTablet6854351258Bengaluru</v>
      </c>
    </row>
    <row r="138" spans="1:1" x14ac:dyDescent="0.3">
      <c r="A138" t="str">
        <f t="shared" si="2"/>
        <v>T03945529RahulWebcam61033361998Pune</v>
      </c>
    </row>
    <row r="139" spans="1:1" x14ac:dyDescent="0.3">
      <c r="A139" t="str">
        <f t="shared" si="2"/>
        <v>T00945495AmitMouse32075662268Hyderabad</v>
      </c>
    </row>
    <row r="140" spans="1:1" x14ac:dyDescent="0.3">
      <c r="A140" t="str">
        <f t="shared" si="2"/>
        <v>T03245574KaranKeyboard41573362932Pune</v>
      </c>
    </row>
    <row r="141" spans="1:1" x14ac:dyDescent="0.3">
      <c r="A141" t="str">
        <f t="shared" si="2"/>
        <v>T00345483SnehaMouse32102563075Hyderabad</v>
      </c>
    </row>
    <row r="142" spans="1:1" x14ac:dyDescent="0.3">
      <c r="A142" t="str">
        <f t="shared" si="2"/>
        <v>T02045343RahulWebcam32611578345Chennai</v>
      </c>
    </row>
    <row r="143" spans="1:1" x14ac:dyDescent="0.3">
      <c r="A143" t="str">
        <f t="shared" si="2"/>
        <v>T03345550PoojaPrinter23938678772Bengaluru</v>
      </c>
    </row>
    <row r="144" spans="1:1" x14ac:dyDescent="0.3">
      <c r="A144" t="str">
        <f t="shared" si="2"/>
        <v>T02345569NehaLaptop23996679932Chennai</v>
      </c>
    </row>
    <row r="145" spans="1:1" x14ac:dyDescent="0.3">
      <c r="A145" t="str">
        <f t="shared" si="2"/>
        <v>T04045323AmitMonitor42039381572Pune</v>
      </c>
    </row>
    <row r="146" spans="1:1" x14ac:dyDescent="0.3">
      <c r="A146" t="str">
        <f t="shared" si="2"/>
        <v>T04745322SnehaMonitor10824282420Chennai</v>
      </c>
    </row>
    <row r="147" spans="1:1" x14ac:dyDescent="0.3">
      <c r="A147" t="str">
        <f t="shared" si="2"/>
        <v>T02545333NehaWebcam24154583090Chennai</v>
      </c>
    </row>
    <row r="148" spans="1:1" x14ac:dyDescent="0.3">
      <c r="A148" t="str">
        <f t="shared" si="2"/>
        <v>T04245392VikramMonitor42086983476Mumbai</v>
      </c>
    </row>
    <row r="149" spans="1:1" x14ac:dyDescent="0.3">
      <c r="A149" t="str">
        <f t="shared" si="2"/>
        <v>T04945495AnitaTablet10957595750Pune</v>
      </c>
    </row>
    <row r="150" spans="1:1" x14ac:dyDescent="0.3">
      <c r="A150" t="str">
        <f t="shared" si="2"/>
        <v>T04545299AnitaWebcam334052102156Hyderabad</v>
      </c>
    </row>
    <row r="151" spans="1:1" x14ac:dyDescent="0.3">
      <c r="A151" t="str">
        <f t="shared" si="2"/>
        <v>T02445403AnitaWebcam520679103395Hyderabad</v>
      </c>
    </row>
    <row r="152" spans="1:1" x14ac:dyDescent="0.3">
      <c r="A152" t="str">
        <f t="shared" si="2"/>
        <v>T03145435RahulLaptop813385107080Delhi</v>
      </c>
    </row>
    <row r="153" spans="1:1" x14ac:dyDescent="0.3">
      <c r="A153" t="str">
        <f t="shared" si="2"/>
        <v>T01945320PriyaPrinter428810115240Pune</v>
      </c>
    </row>
    <row r="154" spans="1:1" x14ac:dyDescent="0.3">
      <c r="A154" t="str">
        <f t="shared" si="2"/>
        <v>T02945382PoojaPrinter429120116480Delhi</v>
      </c>
    </row>
    <row r="155" spans="1:1" x14ac:dyDescent="0.3">
      <c r="A155" t="str">
        <f t="shared" si="2"/>
        <v>T02145310AmitTablet524148120740Hyderabad</v>
      </c>
    </row>
    <row r="156" spans="1:1" x14ac:dyDescent="0.3">
      <c r="A156" t="str">
        <f t="shared" si="2"/>
        <v>T01245473AmitHeadphones620576123456Mumbai</v>
      </c>
    </row>
    <row r="157" spans="1:1" x14ac:dyDescent="0.3">
      <c r="A157" t="str">
        <f t="shared" si="2"/>
        <v>T01345432PriyaWebcam622895137370Bengaluru</v>
      </c>
    </row>
    <row r="158" spans="1:1" x14ac:dyDescent="0.3">
      <c r="A158" t="str">
        <f t="shared" si="2"/>
        <v>T01045574PriyaWebcam348084144252Mumbai</v>
      </c>
    </row>
    <row r="159" spans="1:1" x14ac:dyDescent="0.3">
      <c r="A159" t="str">
        <f t="shared" si="2"/>
        <v>T04145475SnehaMouse533106165530Hyderabad</v>
      </c>
    </row>
    <row r="160" spans="1:1" x14ac:dyDescent="0.3">
      <c r="A160" t="str">
        <f t="shared" si="2"/>
        <v>T03545407SnehaMouse631522189132Mumbai</v>
      </c>
    </row>
    <row r="161" spans="1:1" x14ac:dyDescent="0.3">
      <c r="A161" t="str">
        <f t="shared" si="2"/>
        <v>T02845370AnitaMonitor727356191492Delhi</v>
      </c>
    </row>
  </sheetData>
  <sortState xmlns:xlrd2="http://schemas.microsoft.com/office/spreadsheetml/2017/richdata2" ref="A2:H52">
    <sortCondition ref="G1:G52"/>
  </sortState>
  <dataConsolidate/>
  <dataValidations count="1">
    <dataValidation type="list" allowBlank="1" showInputMessage="1" showErrorMessage="1" sqref="J2" xr:uid="{58BC204E-6DD5-4042-BD54-23480CF31B63}">
      <formula1>$H:$H</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964BF-B339-438B-B008-43EAE0C8512A}">
  <sheetPr codeName="Sheet2"/>
  <dimension ref="A1:I51"/>
  <sheetViews>
    <sheetView zoomScale="115" zoomScaleNormal="115" workbookViewId="0">
      <selection activeCell="G11" sqref="G11"/>
    </sheetView>
  </sheetViews>
  <sheetFormatPr defaultRowHeight="14.4" x14ac:dyDescent="0.3"/>
  <cols>
    <col min="1" max="1" width="15.44140625" customWidth="1"/>
    <col min="2" max="2" width="10.5546875" style="3" bestFit="1" customWidth="1"/>
    <col min="3" max="3" width="16.77734375" customWidth="1"/>
    <col min="4" max="4" width="11.109375" bestFit="1" customWidth="1"/>
    <col min="5" max="5" width="11.77734375" customWidth="1"/>
    <col min="6" max="6" width="15.21875" customWidth="1"/>
    <col min="7" max="7" width="12.33203125" customWidth="1"/>
    <col min="8" max="8" width="9.88671875" bestFit="1" customWidth="1"/>
    <col min="10" max="10" width="11.109375" bestFit="1" customWidth="1"/>
    <col min="12" max="12" width="13.44140625" bestFit="1" customWidth="1"/>
    <col min="13" max="13" width="10.5546875" bestFit="1" customWidth="1"/>
    <col min="15" max="15" width="11.109375" bestFit="1" customWidth="1"/>
    <col min="18" max="18" width="10.33203125" bestFit="1" customWidth="1"/>
    <col min="19" max="19" width="9.88671875" bestFit="1" customWidth="1"/>
  </cols>
  <sheetData>
    <row r="1" spans="1:9" x14ac:dyDescent="0.3">
      <c r="A1" s="14" t="s">
        <v>0</v>
      </c>
      <c r="B1" s="15" t="s">
        <v>1</v>
      </c>
      <c r="C1" s="14" t="s">
        <v>2</v>
      </c>
      <c r="D1" s="14" t="s">
        <v>3</v>
      </c>
      <c r="E1" s="14" t="s">
        <v>4</v>
      </c>
      <c r="F1" s="14" t="s">
        <v>5</v>
      </c>
      <c r="G1" s="14" t="s">
        <v>6</v>
      </c>
      <c r="H1" s="16" t="s">
        <v>7</v>
      </c>
      <c r="I1" s="1"/>
    </row>
    <row r="2" spans="1:9" x14ac:dyDescent="0.3">
      <c r="A2" s="4" t="s">
        <v>45</v>
      </c>
      <c r="B2" s="10">
        <v>45442</v>
      </c>
      <c r="C2" s="5" t="s">
        <v>82</v>
      </c>
      <c r="D2" s="5" t="s">
        <v>71</v>
      </c>
      <c r="E2" s="5">
        <v>3</v>
      </c>
      <c r="F2" s="5">
        <v>1764</v>
      </c>
      <c r="G2" s="5">
        <v>5292</v>
      </c>
      <c r="H2" s="13" t="s">
        <v>76</v>
      </c>
    </row>
    <row r="3" spans="1:9" x14ac:dyDescent="0.3">
      <c r="A3" s="4" t="s">
        <v>55</v>
      </c>
      <c r="B3" s="10">
        <v>45296</v>
      </c>
      <c r="C3" s="5" t="s">
        <v>59</v>
      </c>
      <c r="D3" s="5" t="s">
        <v>74</v>
      </c>
      <c r="E3" s="5">
        <v>2</v>
      </c>
      <c r="F3" s="5">
        <v>3963</v>
      </c>
      <c r="G3" s="5">
        <v>7926</v>
      </c>
      <c r="H3" s="13" t="s">
        <v>78</v>
      </c>
    </row>
    <row r="4" spans="1:9" x14ac:dyDescent="0.3">
      <c r="A4" s="4" t="s">
        <v>37</v>
      </c>
      <c r="B4" s="10">
        <v>45584</v>
      </c>
      <c r="C4" s="5" t="s">
        <v>62</v>
      </c>
      <c r="D4" s="5" t="s">
        <v>67</v>
      </c>
      <c r="E4" s="5">
        <v>2</v>
      </c>
      <c r="F4" s="5">
        <v>5389</v>
      </c>
      <c r="G4" s="5">
        <v>10778</v>
      </c>
      <c r="H4" s="13" t="s">
        <v>77</v>
      </c>
    </row>
    <row r="5" spans="1:9" x14ac:dyDescent="0.3">
      <c r="A5" s="4" t="s">
        <v>43</v>
      </c>
      <c r="B5" s="10">
        <v>45420</v>
      </c>
      <c r="C5" s="5" t="s">
        <v>81</v>
      </c>
      <c r="D5" s="5" t="s">
        <v>71</v>
      </c>
      <c r="E5" s="5">
        <v>3</v>
      </c>
      <c r="F5" s="5">
        <v>4486</v>
      </c>
      <c r="G5" s="5">
        <v>13458</v>
      </c>
      <c r="H5" s="13" t="s">
        <v>77</v>
      </c>
    </row>
    <row r="6" spans="1:9" x14ac:dyDescent="0.3">
      <c r="A6" s="4" t="s">
        <v>25</v>
      </c>
      <c r="B6" s="10">
        <v>45525</v>
      </c>
      <c r="C6" s="5" t="s">
        <v>65</v>
      </c>
      <c r="D6" s="5" t="s">
        <v>71</v>
      </c>
      <c r="E6" s="5">
        <v>1</v>
      </c>
      <c r="F6" s="5">
        <v>15787</v>
      </c>
      <c r="G6" s="5">
        <v>15787</v>
      </c>
      <c r="H6" s="13" t="s">
        <v>78</v>
      </c>
    </row>
    <row r="7" spans="1:9" x14ac:dyDescent="0.3">
      <c r="A7" s="4" t="s">
        <v>13</v>
      </c>
      <c r="B7" s="10">
        <v>45309</v>
      </c>
      <c r="C7" s="5" t="s">
        <v>59</v>
      </c>
      <c r="D7" s="5" t="s">
        <v>70</v>
      </c>
      <c r="E7" s="5">
        <v>1</v>
      </c>
      <c r="F7" s="5">
        <v>20040</v>
      </c>
      <c r="G7" s="5">
        <v>20040</v>
      </c>
      <c r="H7" s="13" t="s">
        <v>79</v>
      </c>
    </row>
    <row r="8" spans="1:9" x14ac:dyDescent="0.3">
      <c r="A8" s="4" t="s">
        <v>12</v>
      </c>
      <c r="B8" s="10">
        <v>45479</v>
      </c>
      <c r="C8" s="5" t="s">
        <v>62</v>
      </c>
      <c r="D8" s="5" t="s">
        <v>67</v>
      </c>
      <c r="E8" s="5">
        <v>1</v>
      </c>
      <c r="F8" s="5">
        <v>22955</v>
      </c>
      <c r="G8" s="5">
        <v>22955</v>
      </c>
      <c r="H8" s="13" t="s">
        <v>78</v>
      </c>
    </row>
    <row r="9" spans="1:9" x14ac:dyDescent="0.3">
      <c r="A9" s="4" t="s">
        <v>51</v>
      </c>
      <c r="B9" s="10">
        <v>45499</v>
      </c>
      <c r="C9" s="5" t="s">
        <v>64</v>
      </c>
      <c r="D9" s="5" t="s">
        <v>74</v>
      </c>
      <c r="E9" s="5">
        <v>1</v>
      </c>
      <c r="F9" s="5">
        <v>31617</v>
      </c>
      <c r="G9" s="5">
        <v>31617</v>
      </c>
      <c r="H9" s="13" t="s">
        <v>75</v>
      </c>
    </row>
    <row r="10" spans="1:9" x14ac:dyDescent="0.3">
      <c r="A10" s="4" t="s">
        <v>41</v>
      </c>
      <c r="B10" s="10">
        <v>45314</v>
      </c>
      <c r="C10" s="5" t="s">
        <v>60</v>
      </c>
      <c r="D10" s="5" t="s">
        <v>72</v>
      </c>
      <c r="E10" s="5">
        <v>2</v>
      </c>
      <c r="F10" s="5">
        <v>18344</v>
      </c>
      <c r="G10" s="5">
        <v>36688</v>
      </c>
      <c r="H10" s="13" t="s">
        <v>76</v>
      </c>
    </row>
    <row r="11" spans="1:9" x14ac:dyDescent="0.3">
      <c r="A11" s="4" t="s">
        <v>53</v>
      </c>
      <c r="B11" s="10">
        <v>45392</v>
      </c>
      <c r="C11" s="5" t="s">
        <v>65</v>
      </c>
      <c r="D11" s="5" t="s">
        <v>70</v>
      </c>
      <c r="E11" s="5">
        <v>1</v>
      </c>
      <c r="F11" s="5">
        <v>38182</v>
      </c>
      <c r="G11" s="5">
        <v>38182</v>
      </c>
      <c r="H11" s="13" t="s">
        <v>78</v>
      </c>
    </row>
    <row r="12" spans="1:9" x14ac:dyDescent="0.3">
      <c r="A12" s="4" t="s">
        <v>9</v>
      </c>
      <c r="B12" s="10">
        <v>45375</v>
      </c>
      <c r="C12" s="5" t="s">
        <v>59</v>
      </c>
      <c r="D12" s="5" t="s">
        <v>68</v>
      </c>
      <c r="E12" s="5">
        <v>1</v>
      </c>
      <c r="F12" s="5">
        <v>39672</v>
      </c>
      <c r="G12" s="5">
        <v>39672</v>
      </c>
      <c r="H12" s="13" t="s">
        <v>76</v>
      </c>
    </row>
    <row r="13" spans="1:9" x14ac:dyDescent="0.3">
      <c r="A13" s="4" t="s">
        <v>23</v>
      </c>
      <c r="B13" s="10">
        <v>45301</v>
      </c>
      <c r="C13" s="5" t="s">
        <v>63</v>
      </c>
      <c r="D13" s="5" t="s">
        <v>71</v>
      </c>
      <c r="E13" s="5">
        <v>2</v>
      </c>
      <c r="F13" s="5">
        <v>20241</v>
      </c>
      <c r="G13" s="5">
        <v>40482</v>
      </c>
      <c r="H13" s="13" t="s">
        <v>76</v>
      </c>
    </row>
    <row r="14" spans="1:9" x14ac:dyDescent="0.3">
      <c r="A14" s="4" t="s">
        <v>33</v>
      </c>
      <c r="B14" s="10">
        <v>45306</v>
      </c>
      <c r="C14" s="5" t="s">
        <v>61</v>
      </c>
      <c r="D14" s="5" t="s">
        <v>69</v>
      </c>
      <c r="E14" s="5">
        <v>5</v>
      </c>
      <c r="F14" s="5">
        <v>8381</v>
      </c>
      <c r="G14" s="5">
        <v>41905</v>
      </c>
      <c r="H14" s="13" t="s">
        <v>78</v>
      </c>
    </row>
    <row r="15" spans="1:9" x14ac:dyDescent="0.3">
      <c r="A15" s="4" t="s">
        <v>11</v>
      </c>
      <c r="B15" s="10">
        <v>45331</v>
      </c>
      <c r="C15" s="5" t="s">
        <v>61</v>
      </c>
      <c r="D15" s="5" t="s">
        <v>69</v>
      </c>
      <c r="E15" s="5">
        <v>5</v>
      </c>
      <c r="F15" s="5">
        <v>9236</v>
      </c>
      <c r="G15" s="5">
        <v>46180</v>
      </c>
      <c r="H15" s="13" t="s">
        <v>75</v>
      </c>
    </row>
    <row r="16" spans="1:9" x14ac:dyDescent="0.3">
      <c r="A16" s="4" t="s">
        <v>50</v>
      </c>
      <c r="B16" s="10">
        <v>45554</v>
      </c>
      <c r="C16" s="5" t="s">
        <v>59</v>
      </c>
      <c r="D16" s="5" t="s">
        <v>73</v>
      </c>
      <c r="E16" s="5">
        <v>1</v>
      </c>
      <c r="F16" s="5">
        <v>48777</v>
      </c>
      <c r="G16" s="5">
        <v>48777</v>
      </c>
      <c r="H16" s="13" t="s">
        <v>80</v>
      </c>
    </row>
    <row r="17" spans="1:8" x14ac:dyDescent="0.3">
      <c r="A17" s="4" t="s">
        <v>29</v>
      </c>
      <c r="B17" s="10">
        <v>45362</v>
      </c>
      <c r="C17" s="5" t="s">
        <v>66</v>
      </c>
      <c r="D17" s="5" t="s">
        <v>71</v>
      </c>
      <c r="E17" s="5">
        <v>1</v>
      </c>
      <c r="F17" s="5">
        <v>49773</v>
      </c>
      <c r="G17" s="5">
        <v>49773</v>
      </c>
      <c r="H17" s="13" t="s">
        <v>75</v>
      </c>
    </row>
    <row r="18" spans="1:8" x14ac:dyDescent="0.3">
      <c r="A18" s="4" t="s">
        <v>8</v>
      </c>
      <c r="B18" s="10">
        <v>45506</v>
      </c>
      <c r="C18" s="5" t="s">
        <v>58</v>
      </c>
      <c r="D18" s="5" t="s">
        <v>67</v>
      </c>
      <c r="E18" s="5">
        <v>2</v>
      </c>
      <c r="F18" s="5">
        <v>25187</v>
      </c>
      <c r="G18" s="5">
        <v>50374</v>
      </c>
      <c r="H18" s="13" t="s">
        <v>75</v>
      </c>
    </row>
    <row r="19" spans="1:8" x14ac:dyDescent="0.3">
      <c r="A19" s="4" t="s">
        <v>44</v>
      </c>
      <c r="B19" s="10">
        <v>45318</v>
      </c>
      <c r="C19" s="5" t="s">
        <v>60</v>
      </c>
      <c r="D19" s="5" t="s">
        <v>71</v>
      </c>
      <c r="E19" s="5">
        <v>6</v>
      </c>
      <c r="F19" s="5">
        <v>8543</v>
      </c>
      <c r="G19" s="5">
        <v>51258</v>
      </c>
      <c r="H19" s="13" t="s">
        <v>79</v>
      </c>
    </row>
    <row r="20" spans="1:8" x14ac:dyDescent="0.3">
      <c r="A20" s="4" t="s">
        <v>46</v>
      </c>
      <c r="B20" s="10">
        <v>45529</v>
      </c>
      <c r="C20" s="5" t="s">
        <v>61</v>
      </c>
      <c r="D20" s="5" t="s">
        <v>67</v>
      </c>
      <c r="E20" s="5">
        <v>6</v>
      </c>
      <c r="F20" s="5">
        <v>10333</v>
      </c>
      <c r="G20" s="5">
        <v>61998</v>
      </c>
      <c r="H20" s="13" t="s">
        <v>76</v>
      </c>
    </row>
    <row r="21" spans="1:8" x14ac:dyDescent="0.3">
      <c r="A21" s="4" t="s">
        <v>16</v>
      </c>
      <c r="B21" s="10">
        <v>45495</v>
      </c>
      <c r="C21" s="5" t="s">
        <v>62</v>
      </c>
      <c r="D21" s="5" t="s">
        <v>69</v>
      </c>
      <c r="E21" s="5">
        <v>3</v>
      </c>
      <c r="F21" s="5">
        <v>20756</v>
      </c>
      <c r="G21" s="5">
        <v>62268</v>
      </c>
      <c r="H21" s="13" t="s">
        <v>77</v>
      </c>
    </row>
    <row r="22" spans="1:8" x14ac:dyDescent="0.3">
      <c r="A22" s="4" t="s">
        <v>39</v>
      </c>
      <c r="B22" s="10">
        <v>45574</v>
      </c>
      <c r="C22" s="5" t="s">
        <v>59</v>
      </c>
      <c r="D22" s="5" t="s">
        <v>68</v>
      </c>
      <c r="E22" s="5">
        <v>4</v>
      </c>
      <c r="F22" s="5">
        <v>15733</v>
      </c>
      <c r="G22" s="5">
        <v>62932</v>
      </c>
      <c r="H22" s="13" t="s">
        <v>76</v>
      </c>
    </row>
    <row r="23" spans="1:8" x14ac:dyDescent="0.3">
      <c r="A23" s="4" t="s">
        <v>10</v>
      </c>
      <c r="B23" s="10">
        <v>45483</v>
      </c>
      <c r="C23" s="5" t="s">
        <v>60</v>
      </c>
      <c r="D23" s="5" t="s">
        <v>69</v>
      </c>
      <c r="E23" s="5">
        <v>3</v>
      </c>
      <c r="F23" s="5">
        <v>21025</v>
      </c>
      <c r="G23" s="5">
        <v>63075</v>
      </c>
      <c r="H23" s="13" t="s">
        <v>77</v>
      </c>
    </row>
    <row r="24" spans="1:8" x14ac:dyDescent="0.3">
      <c r="A24" s="4" t="s">
        <v>27</v>
      </c>
      <c r="B24" s="10">
        <v>45343</v>
      </c>
      <c r="C24" s="5" t="s">
        <v>61</v>
      </c>
      <c r="D24" s="5" t="s">
        <v>67</v>
      </c>
      <c r="E24" s="5">
        <v>3</v>
      </c>
      <c r="F24" s="5">
        <v>26115</v>
      </c>
      <c r="G24" s="5">
        <v>78345</v>
      </c>
      <c r="H24" s="13" t="s">
        <v>80</v>
      </c>
    </row>
    <row r="25" spans="1:8" x14ac:dyDescent="0.3">
      <c r="A25" s="4" t="s">
        <v>40</v>
      </c>
      <c r="B25" s="10">
        <v>45550</v>
      </c>
      <c r="C25" s="5" t="s">
        <v>58</v>
      </c>
      <c r="D25" s="5" t="s">
        <v>73</v>
      </c>
      <c r="E25" s="5">
        <v>2</v>
      </c>
      <c r="F25" s="5">
        <v>39386</v>
      </c>
      <c r="G25" s="5">
        <v>78772</v>
      </c>
      <c r="H25" s="13" t="s">
        <v>79</v>
      </c>
    </row>
    <row r="26" spans="1:8" x14ac:dyDescent="0.3">
      <c r="A26" s="4" t="s">
        <v>30</v>
      </c>
      <c r="B26" s="10">
        <v>45569</v>
      </c>
      <c r="C26" s="5" t="s">
        <v>65</v>
      </c>
      <c r="D26" s="5" t="s">
        <v>72</v>
      </c>
      <c r="E26" s="5">
        <v>2</v>
      </c>
      <c r="F26" s="5">
        <v>39966</v>
      </c>
      <c r="G26" s="5">
        <v>79932</v>
      </c>
      <c r="H26" s="13" t="s">
        <v>80</v>
      </c>
    </row>
    <row r="27" spans="1:8" x14ac:dyDescent="0.3">
      <c r="A27" s="4" t="s">
        <v>47</v>
      </c>
      <c r="B27" s="10">
        <v>45323</v>
      </c>
      <c r="C27" s="5" t="s">
        <v>62</v>
      </c>
      <c r="D27" s="5" t="s">
        <v>74</v>
      </c>
      <c r="E27" s="5">
        <v>4</v>
      </c>
      <c r="F27" s="5">
        <v>20393</v>
      </c>
      <c r="G27" s="5">
        <v>81572</v>
      </c>
      <c r="H27" s="13" t="s">
        <v>76</v>
      </c>
    </row>
    <row r="28" spans="1:8" x14ac:dyDescent="0.3">
      <c r="A28" s="4" t="s">
        <v>54</v>
      </c>
      <c r="B28" s="10">
        <v>45322</v>
      </c>
      <c r="C28" s="5" t="s">
        <v>60</v>
      </c>
      <c r="D28" s="5" t="s">
        <v>74</v>
      </c>
      <c r="E28" s="5">
        <v>10</v>
      </c>
      <c r="F28" s="5">
        <v>8242</v>
      </c>
      <c r="G28" s="5">
        <v>82420</v>
      </c>
      <c r="H28" s="13" t="s">
        <v>80</v>
      </c>
    </row>
    <row r="29" spans="1:8" x14ac:dyDescent="0.3">
      <c r="A29" s="4" t="s">
        <v>32</v>
      </c>
      <c r="B29" s="10">
        <v>45333</v>
      </c>
      <c r="C29" s="5" t="s">
        <v>65</v>
      </c>
      <c r="D29" s="5" t="s">
        <v>67</v>
      </c>
      <c r="E29" s="5">
        <v>2</v>
      </c>
      <c r="F29" s="5">
        <v>41545</v>
      </c>
      <c r="G29" s="5">
        <v>83090</v>
      </c>
      <c r="H29" s="13" t="s">
        <v>80</v>
      </c>
    </row>
    <row r="30" spans="1:8" x14ac:dyDescent="0.3">
      <c r="A30" s="4" t="s">
        <v>49</v>
      </c>
      <c r="B30" s="10">
        <v>45392</v>
      </c>
      <c r="C30" s="5" t="s">
        <v>66</v>
      </c>
      <c r="D30" s="5" t="s">
        <v>74</v>
      </c>
      <c r="E30" s="5">
        <v>4</v>
      </c>
      <c r="F30" s="5">
        <v>20869</v>
      </c>
      <c r="G30" s="5">
        <v>83476</v>
      </c>
      <c r="H30" s="13" t="s">
        <v>78</v>
      </c>
    </row>
    <row r="31" spans="1:8" x14ac:dyDescent="0.3">
      <c r="A31" s="4" t="s">
        <v>56</v>
      </c>
      <c r="B31" s="10">
        <v>45495</v>
      </c>
      <c r="C31" s="5" t="s">
        <v>64</v>
      </c>
      <c r="D31" s="5" t="s">
        <v>71</v>
      </c>
      <c r="E31" s="5">
        <v>10</v>
      </c>
      <c r="F31" s="5">
        <v>9575</v>
      </c>
      <c r="G31" s="5">
        <v>95750</v>
      </c>
      <c r="H31" s="13" t="s">
        <v>76</v>
      </c>
    </row>
    <row r="32" spans="1:8" x14ac:dyDescent="0.3">
      <c r="A32" s="4" t="s">
        <v>52</v>
      </c>
      <c r="B32" s="10">
        <v>45299</v>
      </c>
      <c r="C32" s="5" t="s">
        <v>64</v>
      </c>
      <c r="D32" s="5" t="s">
        <v>67</v>
      </c>
      <c r="E32" s="5">
        <v>3</v>
      </c>
      <c r="F32" s="5">
        <v>34052</v>
      </c>
      <c r="G32" s="5">
        <v>102156</v>
      </c>
      <c r="H32" s="13" t="s">
        <v>77</v>
      </c>
    </row>
    <row r="33" spans="1:8" x14ac:dyDescent="0.3">
      <c r="A33" s="4" t="s">
        <v>31</v>
      </c>
      <c r="B33" s="10">
        <v>45403</v>
      </c>
      <c r="C33" s="5" t="s">
        <v>64</v>
      </c>
      <c r="D33" s="5" t="s">
        <v>67</v>
      </c>
      <c r="E33" s="5">
        <v>5</v>
      </c>
      <c r="F33" s="5">
        <v>20679</v>
      </c>
      <c r="G33" s="5">
        <v>103395</v>
      </c>
      <c r="H33" s="13" t="s">
        <v>77</v>
      </c>
    </row>
    <row r="34" spans="1:8" x14ac:dyDescent="0.3">
      <c r="A34" s="4" t="s">
        <v>38</v>
      </c>
      <c r="B34" s="10">
        <v>45435</v>
      </c>
      <c r="C34" s="5" t="s">
        <v>61</v>
      </c>
      <c r="D34" s="5" t="s">
        <v>72</v>
      </c>
      <c r="E34" s="5">
        <v>8</v>
      </c>
      <c r="F34" s="5">
        <v>13385</v>
      </c>
      <c r="G34" s="5">
        <v>107080</v>
      </c>
      <c r="H34" s="13" t="s">
        <v>75</v>
      </c>
    </row>
    <row r="35" spans="1:8" x14ac:dyDescent="0.3">
      <c r="A35" s="4" t="s">
        <v>26</v>
      </c>
      <c r="B35" s="10">
        <v>45320</v>
      </c>
      <c r="C35" s="5" t="s">
        <v>63</v>
      </c>
      <c r="D35" s="5" t="s">
        <v>73</v>
      </c>
      <c r="E35" s="5">
        <v>4</v>
      </c>
      <c r="F35" s="5">
        <v>28810</v>
      </c>
      <c r="G35" s="5">
        <v>115240</v>
      </c>
      <c r="H35" s="13" t="s">
        <v>76</v>
      </c>
    </row>
    <row r="36" spans="1:8" x14ac:dyDescent="0.3">
      <c r="A36" s="4" t="s">
        <v>36</v>
      </c>
      <c r="B36" s="10">
        <v>45382</v>
      </c>
      <c r="C36" s="5" t="s">
        <v>58</v>
      </c>
      <c r="D36" s="5" t="s">
        <v>73</v>
      </c>
      <c r="E36" s="5">
        <v>4</v>
      </c>
      <c r="F36" s="5">
        <v>29120</v>
      </c>
      <c r="G36" s="5">
        <v>116480</v>
      </c>
      <c r="H36" s="13" t="s">
        <v>75</v>
      </c>
    </row>
    <row r="37" spans="1:8" x14ac:dyDescent="0.3">
      <c r="A37" s="4" t="s">
        <v>28</v>
      </c>
      <c r="B37" s="10">
        <v>45310</v>
      </c>
      <c r="C37" s="5" t="s">
        <v>62</v>
      </c>
      <c r="D37" s="5" t="s">
        <v>71</v>
      </c>
      <c r="E37" s="5">
        <v>5</v>
      </c>
      <c r="F37" s="5">
        <v>24148</v>
      </c>
      <c r="G37" s="5">
        <v>120740</v>
      </c>
      <c r="H37" s="13" t="s">
        <v>77</v>
      </c>
    </row>
    <row r="38" spans="1:8" x14ac:dyDescent="0.3">
      <c r="A38" s="4" t="s">
        <v>19</v>
      </c>
      <c r="B38" s="10">
        <v>45473</v>
      </c>
      <c r="C38" s="5" t="s">
        <v>62</v>
      </c>
      <c r="D38" s="5" t="s">
        <v>70</v>
      </c>
      <c r="E38" s="5">
        <v>6</v>
      </c>
      <c r="F38" s="5">
        <v>20576</v>
      </c>
      <c r="G38" s="5">
        <v>123456</v>
      </c>
      <c r="H38" s="13" t="s">
        <v>78</v>
      </c>
    </row>
    <row r="39" spans="1:8" x14ac:dyDescent="0.3">
      <c r="A39" s="4" t="s">
        <v>20</v>
      </c>
      <c r="B39" s="10">
        <v>45432</v>
      </c>
      <c r="C39" s="5" t="s">
        <v>63</v>
      </c>
      <c r="D39" s="5" t="s">
        <v>67</v>
      </c>
      <c r="E39" s="5">
        <v>6</v>
      </c>
      <c r="F39" s="5">
        <v>22895</v>
      </c>
      <c r="G39" s="5">
        <v>137370</v>
      </c>
      <c r="H39" s="13" t="s">
        <v>79</v>
      </c>
    </row>
    <row r="40" spans="1:8" x14ac:dyDescent="0.3">
      <c r="A40" s="4" t="s">
        <v>17</v>
      </c>
      <c r="B40" s="10">
        <v>45574</v>
      </c>
      <c r="C40" s="5" t="s">
        <v>63</v>
      </c>
      <c r="D40" s="5" t="s">
        <v>67</v>
      </c>
      <c r="E40" s="5">
        <v>3</v>
      </c>
      <c r="F40" s="5">
        <v>48084</v>
      </c>
      <c r="G40" s="5">
        <v>144252</v>
      </c>
      <c r="H40" s="13" t="s">
        <v>78</v>
      </c>
    </row>
    <row r="41" spans="1:8" x14ac:dyDescent="0.3">
      <c r="A41" s="4" t="s">
        <v>48</v>
      </c>
      <c r="B41" s="10">
        <v>45475</v>
      </c>
      <c r="C41" s="5" t="s">
        <v>60</v>
      </c>
      <c r="D41" s="5" t="s">
        <v>69</v>
      </c>
      <c r="E41" s="5">
        <v>5</v>
      </c>
      <c r="F41" s="5">
        <v>33106</v>
      </c>
      <c r="G41" s="5">
        <v>165530</v>
      </c>
      <c r="H41" s="13" t="s">
        <v>77</v>
      </c>
    </row>
    <row r="42" spans="1:8" x14ac:dyDescent="0.3">
      <c r="A42" s="4" t="s">
        <v>42</v>
      </c>
      <c r="B42" s="10">
        <v>45407</v>
      </c>
      <c r="C42" s="5" t="s">
        <v>60</v>
      </c>
      <c r="D42" s="5" t="s">
        <v>69</v>
      </c>
      <c r="E42" s="5">
        <v>6</v>
      </c>
      <c r="F42" s="5">
        <v>31522</v>
      </c>
      <c r="G42" s="5">
        <v>189132</v>
      </c>
      <c r="H42" s="13" t="s">
        <v>78</v>
      </c>
    </row>
    <row r="43" spans="1:8" x14ac:dyDescent="0.3">
      <c r="A43" s="4" t="s">
        <v>35</v>
      </c>
      <c r="B43" s="10">
        <v>45370</v>
      </c>
      <c r="C43" s="5" t="s">
        <v>64</v>
      </c>
      <c r="D43" s="5" t="s">
        <v>74</v>
      </c>
      <c r="E43" s="5">
        <v>7</v>
      </c>
      <c r="F43" s="5">
        <v>27356</v>
      </c>
      <c r="G43" s="5">
        <v>191492</v>
      </c>
      <c r="H43" s="13" t="s">
        <v>75</v>
      </c>
    </row>
    <row r="44" spans="1:8" x14ac:dyDescent="0.3">
      <c r="A44" s="4" t="s">
        <v>15</v>
      </c>
      <c r="B44" s="10">
        <v>45357</v>
      </c>
      <c r="C44" s="5" t="s">
        <v>62</v>
      </c>
      <c r="D44" s="5" t="s">
        <v>70</v>
      </c>
      <c r="E44" s="5">
        <v>5</v>
      </c>
      <c r="F44" s="5">
        <v>40590</v>
      </c>
      <c r="G44" s="5">
        <v>202950</v>
      </c>
      <c r="H44" s="13" t="s">
        <v>76</v>
      </c>
    </row>
    <row r="45" spans="1:8" x14ac:dyDescent="0.3">
      <c r="A45" s="4" t="s">
        <v>24</v>
      </c>
      <c r="B45" s="10">
        <v>45553</v>
      </c>
      <c r="C45" s="5" t="s">
        <v>65</v>
      </c>
      <c r="D45" s="5" t="s">
        <v>68</v>
      </c>
      <c r="E45" s="5">
        <v>7</v>
      </c>
      <c r="F45" s="5">
        <v>31140</v>
      </c>
      <c r="G45" s="5">
        <v>217980</v>
      </c>
      <c r="H45" s="13" t="s">
        <v>77</v>
      </c>
    </row>
    <row r="46" spans="1:8" x14ac:dyDescent="0.3">
      <c r="A46" s="4" t="s">
        <v>21</v>
      </c>
      <c r="B46" s="10">
        <v>45467</v>
      </c>
      <c r="C46" s="5" t="s">
        <v>63</v>
      </c>
      <c r="D46" s="5" t="s">
        <v>72</v>
      </c>
      <c r="E46" s="5">
        <v>5</v>
      </c>
      <c r="F46" s="5">
        <v>43671</v>
      </c>
      <c r="G46" s="5">
        <v>218355</v>
      </c>
      <c r="H46" s="13" t="s">
        <v>79</v>
      </c>
    </row>
    <row r="47" spans="1:8" x14ac:dyDescent="0.3">
      <c r="A47" s="4" t="s">
        <v>14</v>
      </c>
      <c r="B47" s="10">
        <v>45362</v>
      </c>
      <c r="C47" s="5" t="s">
        <v>60</v>
      </c>
      <c r="D47" s="5" t="s">
        <v>70</v>
      </c>
      <c r="E47" s="5">
        <v>7</v>
      </c>
      <c r="F47" s="5">
        <v>32236</v>
      </c>
      <c r="G47" s="5">
        <v>225652</v>
      </c>
      <c r="H47" s="13" t="s">
        <v>77</v>
      </c>
    </row>
    <row r="48" spans="1:8" x14ac:dyDescent="0.3">
      <c r="A48" s="4" t="s">
        <v>22</v>
      </c>
      <c r="B48" s="10">
        <v>45536</v>
      </c>
      <c r="C48" s="5" t="s">
        <v>61</v>
      </c>
      <c r="D48" s="5" t="s">
        <v>68</v>
      </c>
      <c r="E48" s="5">
        <v>8</v>
      </c>
      <c r="F48" s="5">
        <v>34169</v>
      </c>
      <c r="G48" s="5">
        <v>273352</v>
      </c>
      <c r="H48" s="13" t="s">
        <v>79</v>
      </c>
    </row>
    <row r="49" spans="1:8" x14ac:dyDescent="0.3">
      <c r="A49" s="4" t="s">
        <v>57</v>
      </c>
      <c r="B49" s="10">
        <v>45305</v>
      </c>
      <c r="C49" s="5" t="s">
        <v>65</v>
      </c>
      <c r="D49" s="5" t="s">
        <v>68</v>
      </c>
      <c r="E49" s="5">
        <v>10</v>
      </c>
      <c r="F49" s="5">
        <v>32061</v>
      </c>
      <c r="G49" s="5">
        <v>320610</v>
      </c>
      <c r="H49" s="13" t="s">
        <v>75</v>
      </c>
    </row>
    <row r="50" spans="1:8" x14ac:dyDescent="0.3">
      <c r="A50" s="4" t="s">
        <v>18</v>
      </c>
      <c r="B50" s="10">
        <v>45389</v>
      </c>
      <c r="C50" s="5" t="s">
        <v>64</v>
      </c>
      <c r="D50" s="5" t="s">
        <v>71</v>
      </c>
      <c r="E50" s="5">
        <v>9</v>
      </c>
      <c r="F50" s="5">
        <v>44080</v>
      </c>
      <c r="G50" s="5">
        <v>396720</v>
      </c>
      <c r="H50" s="13" t="s">
        <v>75</v>
      </c>
    </row>
    <row r="51" spans="1:8" x14ac:dyDescent="0.3">
      <c r="A51" s="17" t="s">
        <v>34</v>
      </c>
      <c r="B51" s="18">
        <v>45519</v>
      </c>
      <c r="C51" s="19" t="s">
        <v>60</v>
      </c>
      <c r="D51" s="19" t="s">
        <v>67</v>
      </c>
      <c r="E51" s="19">
        <v>10</v>
      </c>
      <c r="F51" s="19">
        <v>48992</v>
      </c>
      <c r="G51" s="19">
        <v>489920</v>
      </c>
      <c r="H51" s="20" t="s">
        <v>77</v>
      </c>
    </row>
  </sheetData>
  <phoneticPr fontId="2" type="noConversion"/>
  <dataValidations count="1">
    <dataValidation type="list" allowBlank="1" showInputMessage="1" showErrorMessage="1" sqref="J2" xr:uid="{42AD3CA2-27D3-4A06-8F33-F36E06487A0E}">
      <formula1>$D:$D</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73D8C-4F71-4B8A-A465-C1E09DF59264}">
  <dimension ref="B8:C15"/>
  <sheetViews>
    <sheetView zoomScale="99" zoomScaleNormal="99" workbookViewId="0">
      <selection activeCell="J28" sqref="J28"/>
    </sheetView>
  </sheetViews>
  <sheetFormatPr defaultRowHeight="14.4" x14ac:dyDescent="0.3"/>
  <cols>
    <col min="1" max="1" width="17.109375" bestFit="1" customWidth="1"/>
    <col min="2" max="2" width="13.21875" customWidth="1"/>
    <col min="3" max="3" width="18.77734375" customWidth="1"/>
    <col min="4" max="4" width="7" bestFit="1" customWidth="1"/>
    <col min="5" max="5" width="7.6640625" bestFit="1" customWidth="1"/>
    <col min="6" max="7" width="7" bestFit="1" customWidth="1"/>
    <col min="8" max="8" width="4.21875" customWidth="1"/>
    <col min="9" max="9" width="12.6640625" customWidth="1"/>
    <col min="10" max="10" width="17" bestFit="1" customWidth="1"/>
  </cols>
  <sheetData>
    <row r="8" spans="2:3" ht="21" x14ac:dyDescent="0.4">
      <c r="B8" s="11" t="s">
        <v>135</v>
      </c>
      <c r="C8" s="12" t="s">
        <v>136</v>
      </c>
    </row>
    <row r="9" spans="2:3" x14ac:dyDescent="0.3">
      <c r="B9" s="5" t="s">
        <v>79</v>
      </c>
      <c r="C9" s="21">
        <v>779147</v>
      </c>
    </row>
    <row r="10" spans="2:3" x14ac:dyDescent="0.3">
      <c r="B10" s="5" t="s">
        <v>80</v>
      </c>
      <c r="C10" s="21">
        <v>372564</v>
      </c>
    </row>
    <row r="11" spans="2:3" x14ac:dyDescent="0.3">
      <c r="B11" s="5" t="s">
        <v>75</v>
      </c>
      <c r="C11" s="21">
        <v>1310326</v>
      </c>
    </row>
    <row r="12" spans="2:3" x14ac:dyDescent="0.3">
      <c r="B12" s="5" t="s">
        <v>77</v>
      </c>
      <c r="C12" s="21">
        <v>1574952</v>
      </c>
    </row>
    <row r="13" spans="2:3" x14ac:dyDescent="0.3">
      <c r="B13" s="5" t="s">
        <v>78</v>
      </c>
      <c r="C13" s="21">
        <v>667071</v>
      </c>
    </row>
    <row r="14" spans="2:3" x14ac:dyDescent="0.3">
      <c r="B14" s="5" t="s">
        <v>76</v>
      </c>
      <c r="C14" s="21">
        <v>742576</v>
      </c>
    </row>
    <row r="15" spans="2:3" x14ac:dyDescent="0.3">
      <c r="B15" s="5" t="s">
        <v>83</v>
      </c>
      <c r="C15" s="21">
        <v>5446636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RAW DATA</vt:lpstr>
      <vt:lpstr>DATA AFTER CLEANING</vt:lpstr>
      <vt:lpstr>VISUALIZATION</vt:lpstr>
      <vt:lpstr>'RAW DATA'!Criteria</vt:lpstr>
      <vt:lpstr>'RAW DATA'!Extract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Satish Dhawale</dc:creator>
  <cp:lastModifiedBy>shaik arfath</cp:lastModifiedBy>
  <dcterms:created xsi:type="dcterms:W3CDTF">2025-10-20T07:26:47Z</dcterms:created>
  <dcterms:modified xsi:type="dcterms:W3CDTF">2026-01-10T07:11:16Z</dcterms:modified>
</cp:coreProperties>
</file>